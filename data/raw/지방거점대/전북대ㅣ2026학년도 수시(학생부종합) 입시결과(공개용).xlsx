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영임\입학과\작성 및 검토\2026 입시 결과 자료\"/>
    </mc:Choice>
  </mc:AlternateContent>
  <xr:revisionPtr revIDLastSave="0" documentId="13_ncr:1_{29250472-D301-48CD-AFB8-1FF670AEB5C3}" xr6:coauthVersionLast="47" xr6:coauthVersionMax="47" xr10:uidLastSave="{00000000-0000-0000-0000-000000000000}"/>
  <bookViews>
    <workbookView xWindow="28680" yWindow="-120" windowWidth="29040" windowHeight="15720" xr2:uid="{A2130B39-3B29-438D-8379-EB9A02A4A6E7}"/>
  </bookViews>
  <sheets>
    <sheet name="수시모집-학생부종합전형" sheetId="5" r:id="rId1"/>
  </sheets>
  <definedNames>
    <definedName name="_xlnm._FilterDatabase" localSheetId="0" hidden="1">'수시모집-학생부종합전형'!$A$13:$Y$146</definedName>
    <definedName name="_xlnm.Print_Area" localSheetId="0">'수시모집-학생부종합전형'!$A$11:$T$146</definedName>
    <definedName name="_xlnm.Print_Titles" localSheetId="0">'수시모집-학생부종합전형'!$11:$13</definedName>
    <definedName name="총점">'수시모집-학생부종합전형'!#REF!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5" l="1"/>
  <c r="G146" i="5" l="1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</calcChain>
</file>

<file path=xl/sharedStrings.xml><?xml version="1.0" encoding="utf-8"?>
<sst xmlns="http://schemas.openxmlformats.org/spreadsheetml/2006/main" count="1608" uniqueCount="115">
  <si>
    <t>전형구분</t>
    <phoneticPr fontId="3" type="noConversion"/>
  </si>
  <si>
    <t>대학명</t>
  </si>
  <si>
    <t>모집단위명</t>
  </si>
  <si>
    <t>모집
인원</t>
  </si>
  <si>
    <t>지원
인원</t>
  </si>
  <si>
    <t>경쟁률</t>
    <phoneticPr fontId="3" type="noConversion"/>
  </si>
  <si>
    <t>등록
인원</t>
  </si>
  <si>
    <t>1단계 합격자</t>
    <phoneticPr fontId="3" type="noConversion"/>
  </si>
  <si>
    <t>평균</t>
  </si>
  <si>
    <t>인원</t>
    <phoneticPr fontId="3" type="noConversion"/>
  </si>
  <si>
    <t>평균</t>
    <phoneticPr fontId="3" type="noConversion"/>
  </si>
  <si>
    <t>큰사람</t>
  </si>
  <si>
    <t>간호대학</t>
  </si>
  <si>
    <t>간호학과</t>
  </si>
  <si>
    <t>공과대학</t>
  </si>
  <si>
    <t>공학계열1</t>
  </si>
  <si>
    <t>사회통합</t>
  </si>
  <si>
    <t>농업생명과학대학</t>
  </si>
  <si>
    <t>공학계열2</t>
  </si>
  <si>
    <t>국가보훈대상자</t>
  </si>
  <si>
    <t>사범대학</t>
  </si>
  <si>
    <t>공학계열1(소프트웨어공학과)</t>
  </si>
  <si>
    <t>만학도(정원내)</t>
  </si>
  <si>
    <t>사회과학대학</t>
  </si>
  <si>
    <t>공학계열1(융합기술공학부[IT융합기전공학])</t>
  </si>
  <si>
    <t>경상대학</t>
  </si>
  <si>
    <t>농업생명과학계열</t>
  </si>
  <si>
    <t>기회균형선발</t>
  </si>
  <si>
    <t>생활과학대학</t>
  </si>
  <si>
    <t>농업생명과학계열(산림환경과학과)</t>
  </si>
  <si>
    <t>특성화고졸재직자</t>
  </si>
  <si>
    <t>수의과대학</t>
  </si>
  <si>
    <t>생명자원융합학과</t>
  </si>
  <si>
    <t>특성화고교졸업자</t>
  </si>
  <si>
    <t>약학대학</t>
  </si>
  <si>
    <t>스마트팜학과</t>
  </si>
  <si>
    <t>교육학과</t>
  </si>
  <si>
    <t>만학도(정원외)</t>
  </si>
  <si>
    <t>의과대학</t>
  </si>
  <si>
    <t>국어교육과</t>
  </si>
  <si>
    <t>인문대학</t>
  </si>
  <si>
    <t>독어교육과</t>
  </si>
  <si>
    <t>자연과학대학</t>
  </si>
  <si>
    <t>영어교육과</t>
  </si>
  <si>
    <t>치과대학</t>
  </si>
  <si>
    <t>사회과교육학부</t>
  </si>
  <si>
    <t>환경생명자원대학</t>
  </si>
  <si>
    <t>과학교육학부</t>
  </si>
  <si>
    <t>본부</t>
  </si>
  <si>
    <t>수학교육과</t>
  </si>
  <si>
    <t>체육교육과</t>
  </si>
  <si>
    <t>사회과학계열</t>
  </si>
  <si>
    <t>경상계열</t>
  </si>
  <si>
    <t>생활과학계열</t>
  </si>
  <si>
    <t>수의예과</t>
  </si>
  <si>
    <t>약학과</t>
  </si>
  <si>
    <t>의예과</t>
  </si>
  <si>
    <t>고고문화인류학과</t>
  </si>
  <si>
    <t>국어국문학과</t>
  </si>
  <si>
    <t>독일학과</t>
  </si>
  <si>
    <t>문헌정보학과</t>
  </si>
  <si>
    <t>사학과</t>
  </si>
  <si>
    <t>스페인.중남미학과</t>
  </si>
  <si>
    <t>영어영문학과</t>
  </si>
  <si>
    <t>일본학과</t>
  </si>
  <si>
    <t>중어중문학과</t>
  </si>
  <si>
    <t>철학과</t>
  </si>
  <si>
    <t>프랑스.아프리카학과</t>
  </si>
  <si>
    <t>국제학부</t>
  </si>
  <si>
    <t>자연과학계열1</t>
  </si>
  <si>
    <t>자연과학계열2</t>
  </si>
  <si>
    <t>스포츠과학과</t>
  </si>
  <si>
    <t>치의예과</t>
  </si>
  <si>
    <t>환경생명자원계열</t>
  </si>
  <si>
    <t>국제이공학부</t>
  </si>
  <si>
    <t>한옥학과</t>
  </si>
  <si>
    <t>표준편차</t>
    <phoneticPr fontId="1" type="noConversion"/>
  </si>
  <si>
    <t>1명 이하</t>
    <phoneticPr fontId="1" type="noConversion"/>
  </si>
  <si>
    <t>50% cut</t>
    <phoneticPr fontId="3" type="noConversion"/>
  </si>
  <si>
    <t>70% cut</t>
    <phoneticPr fontId="3" type="noConversion"/>
  </si>
  <si>
    <t>최초합격자</t>
    <phoneticPr fontId="1" type="noConversion"/>
  </si>
  <si>
    <t>평균</t>
    <phoneticPr fontId="1" type="noConversion"/>
  </si>
  <si>
    <t>단일단계</t>
    <phoneticPr fontId="1" type="noConversion"/>
  </si>
  <si>
    <t>최종등록자</t>
    <phoneticPr fontId="1" type="noConversion"/>
  </si>
  <si>
    <t>학생부 등급</t>
    <phoneticPr fontId="3" type="noConversion"/>
  </si>
  <si>
    <t>표준편차</t>
    <phoneticPr fontId="3" type="noConversion"/>
  </si>
  <si>
    <t>※ 입시결과는 최종등록자 기준임</t>
    <phoneticPr fontId="1" type="noConversion"/>
  </si>
  <si>
    <t>※ 충원합격 순위: 마지막 충원 합격자의 후보순위(최초합격 발표 기준 후보순위), 충원합격 등록인원: 등록인원 중 충원합격한 인원 수</t>
    <phoneticPr fontId="1" type="noConversion"/>
  </si>
  <si>
    <t>1명 이하</t>
  </si>
  <si>
    <t>2026학년도 전북대학교 수시모집 학생부종합전형 입시 결과</t>
    <phoneticPr fontId="2" type="noConversion"/>
  </si>
  <si>
    <t>※ 등록인원이 1명 이하인 모집단위 성적은 공개하지 않음</t>
    <phoneticPr fontId="3" type="noConversion"/>
  </si>
  <si>
    <t>※ 등록인원이 2명인 모집단위 성적은 평균에 한해 공개, 등록인원이 3명인 모집단위는 평균 및 편차에 한해 공개</t>
    <phoneticPr fontId="3" type="noConversion"/>
  </si>
  <si>
    <t>※ 50%/70%/85% cut: 100명 중 50등, 70등, 85등의 점수(소수점인 경우 버림 등수, 4명*0.7=2.8의 경우 2등의 점수)</t>
    <phoneticPr fontId="1" type="noConversion"/>
  </si>
  <si>
    <t>※ 학생부등급은 학생부 성적 산출이 가능한 지원자에 한해 계산됨(학생부비동의자, 검정고시 및 해외고 출신자는 포함하지 않음)</t>
    <phoneticPr fontId="3" type="noConversion"/>
  </si>
  <si>
    <t>이차전지공학과</t>
  </si>
  <si>
    <t>첨단방위산업학과</t>
  </si>
  <si>
    <t>SW인재</t>
  </si>
  <si>
    <t>농어촌학생(종합)</t>
  </si>
  <si>
    <t>특수교육대상자</t>
  </si>
  <si>
    <t>85% cut</t>
    <phoneticPr fontId="3" type="noConversion"/>
  </si>
  <si>
    <t>인원</t>
    <phoneticPr fontId="1" type="noConversion"/>
  </si>
  <si>
    <t>단일단계</t>
  </si>
  <si>
    <t>0명</t>
  </si>
  <si>
    <t>0명</t>
    <phoneticPr fontId="1" type="noConversion"/>
  </si>
  <si>
    <t>전형 총점
(1,000점 만점)</t>
    <phoneticPr fontId="3" type="noConversion"/>
  </si>
  <si>
    <t>충원
합격
등록
인원</t>
    <phoneticPr fontId="3" type="noConversion"/>
  </si>
  <si>
    <t>충원
합격 
순위</t>
    <phoneticPr fontId="3" type="noConversion"/>
  </si>
  <si>
    <t>※ 학생부등급은 주요 교과(국어, 영어, 수학, 사회, 과학, 한국사)의 등급를 기준으로 산출하였으며, 과목별 이수단위를 반영함</t>
    <phoneticPr fontId="3" type="noConversion"/>
  </si>
  <si>
    <t>2명 이하</t>
  </si>
  <si>
    <t>3명 이하</t>
  </si>
  <si>
    <t>1명 이하</t>
    <phoneticPr fontId="3" type="noConversion"/>
  </si>
  <si>
    <t>2명 이하</t>
    <phoneticPr fontId="3" type="noConversion"/>
  </si>
  <si>
    <t>3명 이하</t>
    <phoneticPr fontId="3" type="noConversion"/>
  </si>
  <si>
    <t>-</t>
    <phoneticPr fontId="3" type="noConversion"/>
  </si>
  <si>
    <t>※ 50%/70%/85% cut 산출 시 지표별로 순위를 재산정함(전형총점 컷은 총점 기준, 학생부등급 컷은 등급을 기준으로 순위를 산정하므로 두 순위가 다를 수 있음)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</si>
</sst>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&quot; :1&quot;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굴림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63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28"/>
      <color theme="0"/>
      <name val="HY헤드라인M"/>
      <family val="3"/>
      <charset val="129"/>
    </font>
    <font>
      <sz val="11"/>
      <color theme="3" tint="-0.249977111117893"/>
      <name val="맑은 고딕"/>
      <family val="3"/>
      <charset val="129"/>
      <scheme val="major"/>
    </font>
    <font>
      <sz val="11"/>
      <color theme="3" tint="-0.499984740745262"/>
      <name val="맑은 고딕"/>
      <family val="3"/>
      <charset val="129"/>
      <scheme val="major"/>
    </font>
    <font>
      <sz val="11"/>
      <color theme="3" tint="-0.499984740745262"/>
      <name val="맑은 고딕"/>
      <family val="3"/>
      <charset val="129"/>
      <scheme val="minor"/>
    </font>
    <font>
      <sz val="11"/>
      <color rgb="FF0016E6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EE6D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Border="1" applyAlignment="1">
      <alignment vertical="center"/>
    </xf>
    <xf numFmtId="2" fontId="7" fillId="0" borderId="0" xfId="0" applyNumberFormat="1" applyFont="1">
      <alignment vertical="center"/>
    </xf>
    <xf numFmtId="177" fontId="7" fillId="0" borderId="19" xfId="0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2" fontId="7" fillId="0" borderId="19" xfId="0" applyNumberFormat="1" applyFont="1" applyFill="1" applyBorder="1" applyAlignment="1">
      <alignment horizontal="right" vertical="center"/>
    </xf>
    <xf numFmtId="2" fontId="7" fillId="0" borderId="18" xfId="0" applyNumberFormat="1" applyFont="1" applyFill="1" applyBorder="1" applyAlignment="1">
      <alignment horizontal="right" vertical="center"/>
    </xf>
    <xf numFmtId="2" fontId="7" fillId="0" borderId="24" xfId="0" applyNumberFormat="1" applyFont="1" applyFill="1" applyBorder="1" applyAlignment="1">
      <alignment horizontal="right" vertical="center"/>
    </xf>
    <xf numFmtId="2" fontId="7" fillId="0" borderId="22" xfId="0" applyNumberFormat="1" applyFont="1" applyFill="1" applyBorder="1" applyAlignment="1">
      <alignment horizontal="right" vertical="center"/>
    </xf>
    <xf numFmtId="2" fontId="7" fillId="0" borderId="27" xfId="0" applyNumberFormat="1" applyFont="1" applyFill="1" applyBorder="1" applyAlignment="1">
      <alignment horizontal="right" vertical="center"/>
    </xf>
    <xf numFmtId="2" fontId="7" fillId="0" borderId="28" xfId="0" applyNumberFormat="1" applyFont="1" applyFill="1" applyBorder="1" applyAlignment="1">
      <alignment horizontal="right" vertical="center"/>
    </xf>
    <xf numFmtId="2" fontId="7" fillId="0" borderId="25" xfId="0" applyNumberFormat="1" applyFont="1" applyFill="1" applyBorder="1" applyAlignment="1">
      <alignment horizontal="right" vertical="center"/>
    </xf>
    <xf numFmtId="0" fontId="7" fillId="0" borderId="0" xfId="0" applyFont="1" applyFill="1">
      <alignment vertical="center"/>
    </xf>
    <xf numFmtId="2" fontId="7" fillId="0" borderId="26" xfId="0" applyNumberFormat="1" applyFont="1" applyFill="1" applyBorder="1" applyAlignment="1">
      <alignment horizontal="right" vertical="center"/>
    </xf>
    <xf numFmtId="0" fontId="6" fillId="6" borderId="20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/>
    </xf>
    <xf numFmtId="0" fontId="6" fillId="6" borderId="29" xfId="0" applyFont="1" applyFill="1" applyBorder="1" applyAlignment="1">
      <alignment horizontal="left" vertical="center"/>
    </xf>
    <xf numFmtId="176" fontId="7" fillId="0" borderId="32" xfId="0" applyNumberFormat="1" applyFont="1" applyBorder="1" applyAlignment="1">
      <alignment horizontal="right" vertical="center"/>
    </xf>
    <xf numFmtId="176" fontId="7" fillId="0" borderId="19" xfId="0" applyNumberFormat="1" applyFont="1" applyBorder="1" applyAlignment="1">
      <alignment horizontal="right" vertical="center"/>
    </xf>
    <xf numFmtId="176" fontId="7" fillId="0" borderId="29" xfId="0" applyNumberFormat="1" applyFont="1" applyBorder="1" applyAlignment="1">
      <alignment horizontal="right" vertical="center"/>
    </xf>
    <xf numFmtId="0" fontId="6" fillId="6" borderId="21" xfId="0" applyFont="1" applyFill="1" applyBorder="1" applyAlignment="1">
      <alignment horizontal="left" vertical="center"/>
    </xf>
    <xf numFmtId="0" fontId="6" fillId="6" borderId="18" xfId="0" applyFont="1" applyFill="1" applyBorder="1" applyAlignment="1">
      <alignment horizontal="left" vertical="center"/>
    </xf>
    <xf numFmtId="0" fontId="6" fillId="6" borderId="30" xfId="0" applyFont="1" applyFill="1" applyBorder="1" applyAlignment="1">
      <alignment horizontal="left" vertical="center"/>
    </xf>
    <xf numFmtId="176" fontId="7" fillId="0" borderId="33" xfId="0" applyNumberFormat="1" applyFont="1" applyBorder="1" applyAlignment="1">
      <alignment horizontal="right" vertical="center"/>
    </xf>
    <xf numFmtId="176" fontId="7" fillId="0" borderId="18" xfId="0" applyNumberFormat="1" applyFont="1" applyBorder="1" applyAlignment="1">
      <alignment horizontal="right" vertical="center"/>
    </xf>
    <xf numFmtId="0" fontId="6" fillId="6" borderId="23" xfId="0" applyFont="1" applyFill="1" applyBorder="1" applyAlignment="1">
      <alignment horizontal="left" vertical="center"/>
    </xf>
    <xf numFmtId="0" fontId="6" fillId="6" borderId="24" xfId="0" applyFont="1" applyFill="1" applyBorder="1" applyAlignment="1">
      <alignment horizontal="left" vertical="center"/>
    </xf>
    <xf numFmtId="0" fontId="6" fillId="6" borderId="31" xfId="0" applyFont="1" applyFill="1" applyBorder="1" applyAlignment="1">
      <alignment horizontal="left" vertical="center"/>
    </xf>
    <xf numFmtId="176" fontId="7" fillId="0" borderId="35" xfId="0" applyNumberFormat="1" applyFont="1" applyBorder="1" applyAlignment="1">
      <alignment horizontal="right" vertical="center"/>
    </xf>
    <xf numFmtId="176" fontId="7" fillId="0" borderId="24" xfId="0" applyNumberFormat="1" applyFont="1" applyBorder="1" applyAlignment="1">
      <alignment horizontal="right" vertical="center"/>
    </xf>
    <xf numFmtId="2" fontId="7" fillId="0" borderId="36" xfId="0" applyNumberFormat="1" applyFont="1" applyFill="1" applyBorder="1" applyAlignment="1">
      <alignment horizontal="right" vertical="center"/>
    </xf>
    <xf numFmtId="2" fontId="7" fillId="0" borderId="34" xfId="0" applyNumberFormat="1" applyFont="1" applyFill="1" applyBorder="1" applyAlignment="1">
      <alignment horizontal="right" vertical="center"/>
    </xf>
    <xf numFmtId="1" fontId="7" fillId="0" borderId="27" xfId="0" applyNumberFormat="1" applyFont="1" applyFill="1" applyBorder="1" applyAlignment="1">
      <alignment horizontal="right" vertical="center"/>
    </xf>
    <xf numFmtId="1" fontId="7" fillId="0" borderId="28" xfId="0" applyNumberFormat="1" applyFont="1" applyFill="1" applyBorder="1" applyAlignment="1">
      <alignment horizontal="right" vertical="center"/>
    </xf>
    <xf numFmtId="177" fontId="7" fillId="0" borderId="26" xfId="0" applyNumberFormat="1" applyFont="1" applyBorder="1" applyAlignment="1">
      <alignment horizontal="right" vertical="center"/>
    </xf>
    <xf numFmtId="2" fontId="7" fillId="0" borderId="38" xfId="0" applyNumberFormat="1" applyFont="1" applyFill="1" applyBorder="1" applyAlignment="1">
      <alignment horizontal="right" vertical="center"/>
    </xf>
    <xf numFmtId="2" fontId="7" fillId="0" borderId="37" xfId="0" applyNumberFormat="1" applyFont="1" applyFill="1" applyBorder="1" applyAlignment="1">
      <alignment horizontal="right" vertical="center"/>
    </xf>
    <xf numFmtId="0" fontId="7" fillId="8" borderId="27" xfId="0" applyFont="1" applyFill="1" applyBorder="1" applyAlignment="1">
      <alignment horizontal="right" vertical="center"/>
    </xf>
    <xf numFmtId="2" fontId="7" fillId="8" borderId="18" xfId="0" applyNumberFormat="1" applyFont="1" applyFill="1" applyBorder="1" applyAlignment="1">
      <alignment horizontal="right" vertical="center"/>
    </xf>
    <xf numFmtId="0" fontId="7" fillId="8" borderId="28" xfId="0" applyFont="1" applyFill="1" applyBorder="1" applyAlignment="1">
      <alignment horizontal="right" vertical="center"/>
    </xf>
    <xf numFmtId="2" fontId="7" fillId="8" borderId="24" xfId="0" applyNumberFormat="1" applyFont="1" applyFill="1" applyBorder="1" applyAlignment="1">
      <alignment horizontal="right" vertical="center"/>
    </xf>
    <xf numFmtId="2" fontId="7" fillId="8" borderId="27" xfId="0" applyNumberFormat="1" applyFont="1" applyFill="1" applyBorder="1" applyAlignment="1">
      <alignment horizontal="right" vertical="center"/>
    </xf>
    <xf numFmtId="2" fontId="7" fillId="8" borderId="19" xfId="0" applyNumberFormat="1" applyFont="1" applyFill="1" applyBorder="1" applyAlignment="1">
      <alignment horizontal="right" vertical="center"/>
    </xf>
    <xf numFmtId="2" fontId="7" fillId="8" borderId="28" xfId="0" applyNumberFormat="1" applyFont="1" applyFill="1" applyBorder="1" applyAlignment="1">
      <alignment horizontal="right" vertical="center"/>
    </xf>
    <xf numFmtId="2" fontId="7" fillId="8" borderId="26" xfId="0" applyNumberFormat="1" applyFont="1" applyFill="1" applyBorder="1" applyAlignment="1">
      <alignment horizontal="right" vertical="center"/>
    </xf>
    <xf numFmtId="0" fontId="10" fillId="7" borderId="0" xfId="0" applyFont="1" applyFill="1" applyBorder="1" applyAlignment="1">
      <alignment vertical="center"/>
    </xf>
    <xf numFmtId="0" fontId="11" fillId="7" borderId="0" xfId="0" applyFont="1" applyFill="1">
      <alignment vertical="center"/>
    </xf>
    <xf numFmtId="0" fontId="12" fillId="7" borderId="0" xfId="0" applyFont="1" applyFill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3" fillId="7" borderId="0" xfId="0" applyFont="1" applyFill="1">
      <alignment vertical="center"/>
    </xf>
    <xf numFmtId="0" fontId="9" fillId="4" borderId="0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9" fontId="4" fillId="3" borderId="5" xfId="0" applyNumberFormat="1" applyFont="1" applyFill="1" applyBorder="1" applyAlignment="1">
      <alignment horizontal="center" vertical="center"/>
    </xf>
    <xf numFmtId="9" fontId="4" fillId="3" borderId="6" xfId="0" applyNumberFormat="1" applyFont="1" applyFill="1" applyBorder="1" applyAlignment="1">
      <alignment horizontal="center" vertical="center"/>
    </xf>
    <xf numFmtId="9" fontId="4" fillId="5" borderId="12" xfId="0" applyNumberFormat="1" applyFont="1" applyFill="1" applyBorder="1" applyAlignment="1">
      <alignment horizontal="center" vertical="center"/>
    </xf>
    <xf numFmtId="9" fontId="4" fillId="5" borderId="13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16E6"/>
      <color rgb="FF0909FF"/>
      <color rgb="FF4145F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533400</xdr:colOff>
      <xdr:row>1</xdr:row>
      <xdr:rowOff>152400</xdr:rowOff>
    </xdr:from>
    <xdr:to>
      <xdr:col>24</xdr:col>
      <xdr:colOff>452027</xdr:colOff>
      <xdr:row>8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6074911-1A42-462D-8F8F-BCF162A84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82875" y="914400"/>
          <a:ext cx="1661702" cy="1704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A4A4-BA9D-4033-A018-E34710D2E4D8}">
  <sheetPr>
    <tabColor rgb="FF0070C0"/>
    <pageSetUpPr fitToPage="1"/>
  </sheetPr>
  <dimension ref="A1:Y147"/>
  <sheetViews>
    <sheetView showGridLines="0" tabSelected="1" zoomScaleNormal="100" workbookViewId="0">
      <pane xSplit="6" ySplit="13" topLeftCell="G14" activePane="bottomRight" state="frozen"/>
      <selection pane="topRight" activeCell="H1" sqref="H1"/>
      <selection pane="bottomLeft" activeCell="A14" sqref="A14"/>
      <selection pane="bottomRight" sqref="A1:Y1"/>
    </sheetView>
  </sheetViews>
  <sheetFormatPr defaultRowHeight="13.5" x14ac:dyDescent="0.3"/>
  <cols>
    <col min="1" max="2" width="15" style="2" bestFit="1" customWidth="1"/>
    <col min="3" max="3" width="33.625" style="2" customWidth="1"/>
    <col min="4" max="9" width="6.625" style="2" customWidth="1"/>
    <col min="10" max="23" width="7.625" style="2" customWidth="1"/>
    <col min="24" max="25" width="7.625" style="14" customWidth="1"/>
    <col min="26" max="16384" width="9" style="2"/>
  </cols>
  <sheetData>
    <row r="1" spans="1:25" ht="60" customHeight="1" x14ac:dyDescent="0.3">
      <c r="A1" s="53" t="s">
        <v>89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</row>
    <row r="2" spans="1:25" ht="19.5" customHeight="1" x14ac:dyDescent="0.3">
      <c r="A2" s="48" t="s">
        <v>86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</row>
    <row r="3" spans="1:25" ht="19.5" customHeight="1" x14ac:dyDescent="0.3">
      <c r="A3" s="49" t="s">
        <v>90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 ht="19.5" customHeight="1" x14ac:dyDescent="0.3">
      <c r="A4" s="49" t="s">
        <v>91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 ht="19.5" customHeight="1" x14ac:dyDescent="0.3">
      <c r="A5" s="49" t="s">
        <v>92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 ht="19.5" customHeight="1" x14ac:dyDescent="0.3">
      <c r="A6" s="52" t="s">
        <v>114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</row>
    <row r="7" spans="1:25" ht="19.5" customHeight="1" x14ac:dyDescent="0.3">
      <c r="A7" s="49" t="s">
        <v>107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</row>
    <row r="8" spans="1:25" ht="19.5" customHeight="1" x14ac:dyDescent="0.3">
      <c r="A8" s="49" t="s">
        <v>93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</row>
    <row r="9" spans="1:25" ht="19.5" customHeight="1" x14ac:dyDescent="0.3">
      <c r="A9" s="49" t="s">
        <v>87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</row>
    <row r="10" spans="1:25" ht="15" customHeight="1" thickBo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s="1" customFormat="1" ht="23.25" customHeight="1" x14ac:dyDescent="0.3">
      <c r="A11" s="73" t="s">
        <v>0</v>
      </c>
      <c r="B11" s="76" t="s">
        <v>1</v>
      </c>
      <c r="C11" s="76" t="s">
        <v>2</v>
      </c>
      <c r="D11" s="60" t="s">
        <v>3</v>
      </c>
      <c r="E11" s="60" t="s">
        <v>4</v>
      </c>
      <c r="F11" s="60" t="s">
        <v>6</v>
      </c>
      <c r="G11" s="60" t="s">
        <v>5</v>
      </c>
      <c r="H11" s="60" t="s">
        <v>106</v>
      </c>
      <c r="I11" s="69" t="s">
        <v>105</v>
      </c>
      <c r="J11" s="63" t="s">
        <v>84</v>
      </c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54" t="s">
        <v>104</v>
      </c>
      <c r="V11" s="55"/>
      <c r="W11" s="55"/>
      <c r="X11" s="55"/>
      <c r="Y11" s="56"/>
    </row>
    <row r="12" spans="1:25" s="1" customFormat="1" ht="23.25" customHeight="1" x14ac:dyDescent="0.3">
      <c r="A12" s="74"/>
      <c r="B12" s="77"/>
      <c r="C12" s="77"/>
      <c r="D12" s="61"/>
      <c r="E12" s="61"/>
      <c r="F12" s="61"/>
      <c r="G12" s="61"/>
      <c r="H12" s="61"/>
      <c r="I12" s="70"/>
      <c r="J12" s="67" t="s">
        <v>7</v>
      </c>
      <c r="K12" s="72"/>
      <c r="L12" s="67" t="s">
        <v>80</v>
      </c>
      <c r="M12" s="68"/>
      <c r="N12" s="68"/>
      <c r="O12" s="68"/>
      <c r="P12" s="65" t="s">
        <v>83</v>
      </c>
      <c r="Q12" s="66"/>
      <c r="R12" s="66"/>
      <c r="S12" s="66"/>
      <c r="T12" s="66"/>
      <c r="U12" s="57"/>
      <c r="V12" s="58"/>
      <c r="W12" s="58"/>
      <c r="X12" s="58"/>
      <c r="Y12" s="59"/>
    </row>
    <row r="13" spans="1:25" s="1" customFormat="1" ht="29.25" customHeight="1" thickBot="1" x14ac:dyDescent="0.35">
      <c r="A13" s="75"/>
      <c r="B13" s="78"/>
      <c r="C13" s="78"/>
      <c r="D13" s="62"/>
      <c r="E13" s="62"/>
      <c r="F13" s="62"/>
      <c r="G13" s="62"/>
      <c r="H13" s="62"/>
      <c r="I13" s="71"/>
      <c r="J13" s="50" t="s">
        <v>9</v>
      </c>
      <c r="K13" s="51" t="s">
        <v>10</v>
      </c>
      <c r="L13" s="50" t="s">
        <v>100</v>
      </c>
      <c r="M13" s="50" t="s">
        <v>81</v>
      </c>
      <c r="N13" s="50" t="s">
        <v>85</v>
      </c>
      <c r="O13" s="50" t="s">
        <v>99</v>
      </c>
      <c r="P13" s="50" t="s">
        <v>10</v>
      </c>
      <c r="Q13" s="50" t="s">
        <v>85</v>
      </c>
      <c r="R13" s="50" t="s">
        <v>78</v>
      </c>
      <c r="S13" s="50" t="s">
        <v>79</v>
      </c>
      <c r="T13" s="50" t="s">
        <v>99</v>
      </c>
      <c r="U13" s="50" t="s">
        <v>8</v>
      </c>
      <c r="V13" s="50" t="s">
        <v>76</v>
      </c>
      <c r="W13" s="50" t="s">
        <v>78</v>
      </c>
      <c r="X13" s="50" t="s">
        <v>79</v>
      </c>
      <c r="Y13" s="6" t="s">
        <v>99</v>
      </c>
    </row>
    <row r="14" spans="1:25" ht="14.25" thickTop="1" x14ac:dyDescent="0.3">
      <c r="A14" s="16" t="s">
        <v>11</v>
      </c>
      <c r="B14" s="17" t="s">
        <v>12</v>
      </c>
      <c r="C14" s="18" t="s">
        <v>13</v>
      </c>
      <c r="D14" s="19">
        <v>7</v>
      </c>
      <c r="E14" s="20">
        <v>159</v>
      </c>
      <c r="F14" s="20">
        <v>7</v>
      </c>
      <c r="G14" s="5">
        <f>E14/D14</f>
        <v>22.714285714285715</v>
      </c>
      <c r="H14" s="20">
        <v>2</v>
      </c>
      <c r="I14" s="21">
        <v>1</v>
      </c>
      <c r="J14" s="39">
        <v>21</v>
      </c>
      <c r="K14" s="40">
        <v>2.71</v>
      </c>
      <c r="L14" s="34">
        <v>7</v>
      </c>
      <c r="M14" s="32">
        <v>2.68</v>
      </c>
      <c r="N14" s="8">
        <v>7.0000000000000007E-2</v>
      </c>
      <c r="O14" s="33">
        <v>2.69</v>
      </c>
      <c r="P14" s="43">
        <v>2.67</v>
      </c>
      <c r="Q14" s="44">
        <v>0.09</v>
      </c>
      <c r="R14" s="40">
        <v>2.66</v>
      </c>
      <c r="S14" s="40">
        <v>2.67</v>
      </c>
      <c r="T14" s="40">
        <v>2.69</v>
      </c>
      <c r="U14" s="11">
        <v>964.54</v>
      </c>
      <c r="V14" s="7">
        <v>5.12</v>
      </c>
      <c r="W14" s="8">
        <v>967.8</v>
      </c>
      <c r="X14" s="8">
        <v>966.4</v>
      </c>
      <c r="Y14" s="10">
        <v>962</v>
      </c>
    </row>
    <row r="15" spans="1:25" x14ac:dyDescent="0.3">
      <c r="A15" s="22" t="s">
        <v>11</v>
      </c>
      <c r="B15" s="23" t="s">
        <v>25</v>
      </c>
      <c r="C15" s="24" t="s">
        <v>52</v>
      </c>
      <c r="D15" s="25">
        <v>43</v>
      </c>
      <c r="E15" s="26">
        <v>539</v>
      </c>
      <c r="F15" s="26">
        <v>43</v>
      </c>
      <c r="G15" s="5">
        <f t="shared" ref="G15:G78" si="0">E15/D15</f>
        <v>12.534883720930232</v>
      </c>
      <c r="H15" s="20">
        <v>28</v>
      </c>
      <c r="I15" s="21">
        <v>19</v>
      </c>
      <c r="J15" s="39">
        <v>129</v>
      </c>
      <c r="K15" s="40">
        <v>3.6</v>
      </c>
      <c r="L15" s="34">
        <v>43</v>
      </c>
      <c r="M15" s="32">
        <v>3.47</v>
      </c>
      <c r="N15" s="8">
        <v>0.32</v>
      </c>
      <c r="O15" s="33">
        <v>3.76</v>
      </c>
      <c r="P15" s="43">
        <v>3.62</v>
      </c>
      <c r="Q15" s="44">
        <v>0.33</v>
      </c>
      <c r="R15" s="40">
        <v>3.69</v>
      </c>
      <c r="S15" s="40">
        <v>3.76</v>
      </c>
      <c r="T15" s="40">
        <v>3.86</v>
      </c>
      <c r="U15" s="11">
        <v>963.83</v>
      </c>
      <c r="V15" s="7">
        <v>7.33</v>
      </c>
      <c r="W15" s="8">
        <v>963.61</v>
      </c>
      <c r="X15" s="8">
        <v>958.69</v>
      </c>
      <c r="Y15" s="10">
        <v>956.91</v>
      </c>
    </row>
    <row r="16" spans="1:25" x14ac:dyDescent="0.3">
      <c r="A16" s="22" t="s">
        <v>11</v>
      </c>
      <c r="B16" s="23" t="s">
        <v>14</v>
      </c>
      <c r="C16" s="24" t="s">
        <v>15</v>
      </c>
      <c r="D16" s="25">
        <v>104</v>
      </c>
      <c r="E16" s="26">
        <v>1289</v>
      </c>
      <c r="F16" s="26">
        <v>103</v>
      </c>
      <c r="G16" s="5">
        <f t="shared" si="0"/>
        <v>12.39423076923077</v>
      </c>
      <c r="H16" s="20">
        <v>98</v>
      </c>
      <c r="I16" s="21">
        <v>57</v>
      </c>
      <c r="J16" s="39">
        <v>312</v>
      </c>
      <c r="K16" s="40">
        <v>3.62</v>
      </c>
      <c r="L16" s="34">
        <v>104</v>
      </c>
      <c r="M16" s="32">
        <v>3.43</v>
      </c>
      <c r="N16" s="8">
        <v>0.42</v>
      </c>
      <c r="O16" s="33">
        <v>3.82</v>
      </c>
      <c r="P16" s="43">
        <v>3.7</v>
      </c>
      <c r="Q16" s="44">
        <v>0.32</v>
      </c>
      <c r="R16" s="40">
        <v>3.74</v>
      </c>
      <c r="S16" s="40">
        <v>3.86</v>
      </c>
      <c r="T16" s="40">
        <v>3.98</v>
      </c>
      <c r="U16" s="11">
        <v>958.62</v>
      </c>
      <c r="V16" s="7">
        <v>9.2200000000000006</v>
      </c>
      <c r="W16" s="8">
        <v>957.51</v>
      </c>
      <c r="X16" s="8">
        <v>953.02</v>
      </c>
      <c r="Y16" s="10">
        <v>949.74</v>
      </c>
    </row>
    <row r="17" spans="1:25" x14ac:dyDescent="0.3">
      <c r="A17" s="22" t="s">
        <v>11</v>
      </c>
      <c r="B17" s="23" t="s">
        <v>14</v>
      </c>
      <c r="C17" s="24" t="s">
        <v>18</v>
      </c>
      <c r="D17" s="25">
        <v>20</v>
      </c>
      <c r="E17" s="26">
        <v>350</v>
      </c>
      <c r="F17" s="26">
        <v>17</v>
      </c>
      <c r="G17" s="5">
        <f t="shared" si="0"/>
        <v>17.5</v>
      </c>
      <c r="H17" s="20">
        <v>24</v>
      </c>
      <c r="I17" s="21">
        <v>11</v>
      </c>
      <c r="J17" s="39">
        <v>60</v>
      </c>
      <c r="K17" s="40">
        <v>3.55</v>
      </c>
      <c r="L17" s="34">
        <v>20</v>
      </c>
      <c r="M17" s="32">
        <v>3.38</v>
      </c>
      <c r="N17" s="8">
        <v>0.26</v>
      </c>
      <c r="O17" s="33">
        <v>3.58</v>
      </c>
      <c r="P17" s="43">
        <v>3.72</v>
      </c>
      <c r="Q17" s="44">
        <v>0.28000000000000003</v>
      </c>
      <c r="R17" s="40">
        <v>3.69</v>
      </c>
      <c r="S17" s="40">
        <v>3.78</v>
      </c>
      <c r="T17" s="40">
        <v>4.03</v>
      </c>
      <c r="U17" s="11">
        <v>963.95</v>
      </c>
      <c r="V17" s="7">
        <v>10.11</v>
      </c>
      <c r="W17" s="8">
        <v>963.18</v>
      </c>
      <c r="X17" s="8">
        <v>957.47</v>
      </c>
      <c r="Y17" s="10">
        <v>954.36</v>
      </c>
    </row>
    <row r="18" spans="1:25" x14ac:dyDescent="0.3">
      <c r="A18" s="22" t="s">
        <v>11</v>
      </c>
      <c r="B18" s="23" t="s">
        <v>17</v>
      </c>
      <c r="C18" s="24" t="s">
        <v>26</v>
      </c>
      <c r="D18" s="25">
        <v>77</v>
      </c>
      <c r="E18" s="26">
        <v>987</v>
      </c>
      <c r="F18" s="26">
        <v>75</v>
      </c>
      <c r="G18" s="5">
        <f t="shared" si="0"/>
        <v>12.818181818181818</v>
      </c>
      <c r="H18" s="20">
        <v>47</v>
      </c>
      <c r="I18" s="21">
        <v>31</v>
      </c>
      <c r="J18" s="39">
        <v>231</v>
      </c>
      <c r="K18" s="40">
        <v>4.16</v>
      </c>
      <c r="L18" s="34">
        <v>77</v>
      </c>
      <c r="M18" s="32">
        <v>3.89</v>
      </c>
      <c r="N18" s="8">
        <v>0.56999999999999995</v>
      </c>
      <c r="O18" s="33">
        <v>4.38</v>
      </c>
      <c r="P18" s="43">
        <v>4.21</v>
      </c>
      <c r="Q18" s="44">
        <v>0.52</v>
      </c>
      <c r="R18" s="40">
        <v>4.25</v>
      </c>
      <c r="S18" s="40">
        <v>4.45</v>
      </c>
      <c r="T18" s="40">
        <v>4.57</v>
      </c>
      <c r="U18" s="11">
        <v>964.75</v>
      </c>
      <c r="V18" s="7">
        <v>10.27</v>
      </c>
      <c r="W18" s="8">
        <v>962.05</v>
      </c>
      <c r="X18" s="8">
        <v>957.56</v>
      </c>
      <c r="Y18" s="10">
        <v>955.78</v>
      </c>
    </row>
    <row r="19" spans="1:25" x14ac:dyDescent="0.3">
      <c r="A19" s="22" t="s">
        <v>11</v>
      </c>
      <c r="B19" s="23" t="s">
        <v>17</v>
      </c>
      <c r="C19" s="24" t="s">
        <v>35</v>
      </c>
      <c r="D19" s="25">
        <v>3</v>
      </c>
      <c r="E19" s="26">
        <v>48</v>
      </c>
      <c r="F19" s="26">
        <v>3</v>
      </c>
      <c r="G19" s="5">
        <f t="shared" si="0"/>
        <v>16</v>
      </c>
      <c r="H19" s="20">
        <v>1</v>
      </c>
      <c r="I19" s="21">
        <v>1</v>
      </c>
      <c r="J19" s="39">
        <v>9</v>
      </c>
      <c r="K19" s="40">
        <v>4.1100000000000003</v>
      </c>
      <c r="L19" s="34">
        <v>3</v>
      </c>
      <c r="M19" s="32">
        <v>3.94</v>
      </c>
      <c r="N19" s="8">
        <v>0.57999999999999996</v>
      </c>
      <c r="O19" s="33" t="s">
        <v>109</v>
      </c>
      <c r="P19" s="43">
        <v>4.41</v>
      </c>
      <c r="Q19" s="44">
        <v>0.1</v>
      </c>
      <c r="R19" s="40" t="s">
        <v>112</v>
      </c>
      <c r="S19" s="40" t="s">
        <v>109</v>
      </c>
      <c r="T19" s="40" t="s">
        <v>109</v>
      </c>
      <c r="U19" s="11">
        <v>954.53</v>
      </c>
      <c r="V19" s="7">
        <v>2.4900000000000002</v>
      </c>
      <c r="W19" s="8" t="s">
        <v>109</v>
      </c>
      <c r="X19" s="8" t="s">
        <v>109</v>
      </c>
      <c r="Y19" s="10" t="s">
        <v>109</v>
      </c>
    </row>
    <row r="20" spans="1:25" x14ac:dyDescent="0.3">
      <c r="A20" s="22" t="s">
        <v>11</v>
      </c>
      <c r="B20" s="23" t="s">
        <v>20</v>
      </c>
      <c r="C20" s="24" t="s">
        <v>36</v>
      </c>
      <c r="D20" s="25">
        <v>3</v>
      </c>
      <c r="E20" s="26">
        <v>42</v>
      </c>
      <c r="F20" s="26">
        <v>3</v>
      </c>
      <c r="G20" s="5">
        <f t="shared" si="0"/>
        <v>14</v>
      </c>
      <c r="H20" s="20">
        <v>1</v>
      </c>
      <c r="I20" s="21">
        <v>1</v>
      </c>
      <c r="J20" s="39">
        <v>9</v>
      </c>
      <c r="K20" s="40">
        <v>3.52</v>
      </c>
      <c r="L20" s="34">
        <v>3</v>
      </c>
      <c r="M20" s="32">
        <v>3.42</v>
      </c>
      <c r="N20" s="8">
        <v>0.22</v>
      </c>
      <c r="O20" s="33" t="s">
        <v>109</v>
      </c>
      <c r="P20" s="43">
        <v>3.66</v>
      </c>
      <c r="Q20" s="44">
        <v>0.17</v>
      </c>
      <c r="R20" s="40" t="s">
        <v>112</v>
      </c>
      <c r="S20" s="40" t="s">
        <v>109</v>
      </c>
      <c r="T20" s="40" t="s">
        <v>109</v>
      </c>
      <c r="U20" s="11">
        <v>959.8</v>
      </c>
      <c r="V20" s="7">
        <v>2.37</v>
      </c>
      <c r="W20" s="8" t="s">
        <v>109</v>
      </c>
      <c r="X20" s="8" t="s">
        <v>109</v>
      </c>
      <c r="Y20" s="10" t="s">
        <v>109</v>
      </c>
    </row>
    <row r="21" spans="1:25" x14ac:dyDescent="0.3">
      <c r="A21" s="22" t="s">
        <v>11</v>
      </c>
      <c r="B21" s="23" t="s">
        <v>20</v>
      </c>
      <c r="C21" s="24" t="s">
        <v>39</v>
      </c>
      <c r="D21" s="25">
        <v>4</v>
      </c>
      <c r="E21" s="26">
        <v>33</v>
      </c>
      <c r="F21" s="26">
        <v>4</v>
      </c>
      <c r="G21" s="5">
        <f t="shared" si="0"/>
        <v>8.25</v>
      </c>
      <c r="H21" s="20">
        <v>3</v>
      </c>
      <c r="I21" s="21">
        <v>3</v>
      </c>
      <c r="J21" s="39">
        <v>12</v>
      </c>
      <c r="K21" s="40">
        <v>2.93</v>
      </c>
      <c r="L21" s="34">
        <v>4</v>
      </c>
      <c r="M21" s="32">
        <v>2.36</v>
      </c>
      <c r="N21" s="8">
        <v>0.24</v>
      </c>
      <c r="O21" s="33">
        <v>2.5499999999999998</v>
      </c>
      <c r="P21" s="43">
        <v>2.82</v>
      </c>
      <c r="Q21" s="44">
        <v>0.32</v>
      </c>
      <c r="R21" s="40">
        <v>2.82</v>
      </c>
      <c r="S21" s="40">
        <v>2.82</v>
      </c>
      <c r="T21" s="40">
        <v>2.99</v>
      </c>
      <c r="U21" s="11">
        <v>982.6</v>
      </c>
      <c r="V21" s="7">
        <v>7.66</v>
      </c>
      <c r="W21" s="8">
        <v>987.2</v>
      </c>
      <c r="X21" s="8">
        <v>987.2</v>
      </c>
      <c r="Y21" s="10">
        <v>975.4</v>
      </c>
    </row>
    <row r="22" spans="1:25" x14ac:dyDescent="0.3">
      <c r="A22" s="22" t="s">
        <v>11</v>
      </c>
      <c r="B22" s="23" t="s">
        <v>20</v>
      </c>
      <c r="C22" s="24" t="s">
        <v>41</v>
      </c>
      <c r="D22" s="25">
        <v>1</v>
      </c>
      <c r="E22" s="26">
        <v>12</v>
      </c>
      <c r="F22" s="26">
        <v>1</v>
      </c>
      <c r="G22" s="5">
        <f t="shared" si="0"/>
        <v>12</v>
      </c>
      <c r="H22" s="20">
        <v>1</v>
      </c>
      <c r="I22" s="21">
        <v>1</v>
      </c>
      <c r="J22" s="39">
        <v>3</v>
      </c>
      <c r="K22" s="40">
        <v>4.5599999999999996</v>
      </c>
      <c r="L22" s="34">
        <v>1</v>
      </c>
      <c r="M22" s="32" t="s">
        <v>88</v>
      </c>
      <c r="N22" s="8" t="s">
        <v>88</v>
      </c>
      <c r="O22" s="33" t="s">
        <v>88</v>
      </c>
      <c r="P22" s="43" t="s">
        <v>110</v>
      </c>
      <c r="Q22" s="44" t="s">
        <v>88</v>
      </c>
      <c r="R22" s="40" t="s">
        <v>88</v>
      </c>
      <c r="S22" s="40" t="s">
        <v>88</v>
      </c>
      <c r="T22" s="40" t="s">
        <v>88</v>
      </c>
      <c r="U22" s="11" t="s">
        <v>88</v>
      </c>
      <c r="V22" s="7" t="s">
        <v>77</v>
      </c>
      <c r="W22" s="8" t="s">
        <v>88</v>
      </c>
      <c r="X22" s="8" t="s">
        <v>88</v>
      </c>
      <c r="Y22" s="10" t="s">
        <v>88</v>
      </c>
    </row>
    <row r="23" spans="1:25" x14ac:dyDescent="0.3">
      <c r="A23" s="22" t="s">
        <v>11</v>
      </c>
      <c r="B23" s="23" t="s">
        <v>20</v>
      </c>
      <c r="C23" s="24" t="s">
        <v>43</v>
      </c>
      <c r="D23" s="25">
        <v>4</v>
      </c>
      <c r="E23" s="26">
        <v>35</v>
      </c>
      <c r="F23" s="26">
        <v>4</v>
      </c>
      <c r="G23" s="5">
        <f t="shared" si="0"/>
        <v>8.75</v>
      </c>
      <c r="H23" s="20">
        <v>6</v>
      </c>
      <c r="I23" s="21">
        <v>3</v>
      </c>
      <c r="J23" s="39">
        <v>12</v>
      </c>
      <c r="K23" s="40">
        <v>3.06</v>
      </c>
      <c r="L23" s="34">
        <v>4</v>
      </c>
      <c r="M23" s="32">
        <v>2.89</v>
      </c>
      <c r="N23" s="8">
        <v>0.28000000000000003</v>
      </c>
      <c r="O23" s="33">
        <v>2.89</v>
      </c>
      <c r="P23" s="43">
        <v>3.21</v>
      </c>
      <c r="Q23" s="44">
        <v>0.28999999999999998</v>
      </c>
      <c r="R23" s="40">
        <v>3.11</v>
      </c>
      <c r="S23" s="40">
        <v>3.11</v>
      </c>
      <c r="T23" s="40">
        <v>3.33</v>
      </c>
      <c r="U23" s="11">
        <v>958.3</v>
      </c>
      <c r="V23" s="7">
        <v>16.8</v>
      </c>
      <c r="W23" s="8">
        <v>959</v>
      </c>
      <c r="X23" s="8">
        <v>959</v>
      </c>
      <c r="Y23" s="10">
        <v>955</v>
      </c>
    </row>
    <row r="24" spans="1:25" x14ac:dyDescent="0.3">
      <c r="A24" s="22" t="s">
        <v>11</v>
      </c>
      <c r="B24" s="23" t="s">
        <v>20</v>
      </c>
      <c r="C24" s="24" t="s">
        <v>45</v>
      </c>
      <c r="D24" s="25">
        <v>15</v>
      </c>
      <c r="E24" s="26">
        <v>163</v>
      </c>
      <c r="F24" s="26">
        <v>15</v>
      </c>
      <c r="G24" s="5">
        <f t="shared" si="0"/>
        <v>10.866666666666667</v>
      </c>
      <c r="H24" s="20">
        <v>22</v>
      </c>
      <c r="I24" s="21">
        <v>9</v>
      </c>
      <c r="J24" s="39">
        <v>49</v>
      </c>
      <c r="K24" s="40">
        <v>3.13</v>
      </c>
      <c r="L24" s="34">
        <v>15</v>
      </c>
      <c r="M24" s="32">
        <v>2.84</v>
      </c>
      <c r="N24" s="8">
        <v>0.32</v>
      </c>
      <c r="O24" s="33">
        <v>3.12</v>
      </c>
      <c r="P24" s="43">
        <v>3.13</v>
      </c>
      <c r="Q24" s="44">
        <v>0.38</v>
      </c>
      <c r="R24" s="40">
        <v>3.1</v>
      </c>
      <c r="S24" s="40">
        <v>3.26</v>
      </c>
      <c r="T24" s="40">
        <v>3.47</v>
      </c>
      <c r="U24" s="11">
        <v>960.86</v>
      </c>
      <c r="V24" s="7">
        <v>6.23</v>
      </c>
      <c r="W24" s="8">
        <v>962.18</v>
      </c>
      <c r="X24" s="8">
        <v>956.07</v>
      </c>
      <c r="Y24" s="10">
        <v>955.46</v>
      </c>
    </row>
    <row r="25" spans="1:25" x14ac:dyDescent="0.3">
      <c r="A25" s="22" t="s">
        <v>11</v>
      </c>
      <c r="B25" s="23" t="s">
        <v>20</v>
      </c>
      <c r="C25" s="24" t="s">
        <v>47</v>
      </c>
      <c r="D25" s="25">
        <v>21</v>
      </c>
      <c r="E25" s="26">
        <v>146</v>
      </c>
      <c r="F25" s="26">
        <v>20</v>
      </c>
      <c r="G25" s="5">
        <f t="shared" si="0"/>
        <v>6.9523809523809526</v>
      </c>
      <c r="H25" s="20">
        <v>25</v>
      </c>
      <c r="I25" s="21">
        <v>13</v>
      </c>
      <c r="J25" s="39">
        <v>63</v>
      </c>
      <c r="K25" s="40">
        <v>3.58</v>
      </c>
      <c r="L25" s="34">
        <v>21</v>
      </c>
      <c r="M25" s="32">
        <v>3.34</v>
      </c>
      <c r="N25" s="8">
        <v>0.41</v>
      </c>
      <c r="O25" s="33">
        <v>3.65</v>
      </c>
      <c r="P25" s="43">
        <v>3.6</v>
      </c>
      <c r="Q25" s="44">
        <v>0.4</v>
      </c>
      <c r="R25" s="40">
        <v>3.57</v>
      </c>
      <c r="S25" s="40">
        <v>3.77</v>
      </c>
      <c r="T25" s="40">
        <v>3.95</v>
      </c>
      <c r="U25" s="11">
        <v>956.18</v>
      </c>
      <c r="V25" s="7">
        <v>10.18</v>
      </c>
      <c r="W25" s="8">
        <v>955.68</v>
      </c>
      <c r="X25" s="8">
        <v>949.8</v>
      </c>
      <c r="Y25" s="10">
        <v>945.83</v>
      </c>
    </row>
    <row r="26" spans="1:25" x14ac:dyDescent="0.3">
      <c r="A26" s="22" t="s">
        <v>11</v>
      </c>
      <c r="B26" s="23" t="s">
        <v>20</v>
      </c>
      <c r="C26" s="24" t="s">
        <v>49</v>
      </c>
      <c r="D26" s="25">
        <v>2</v>
      </c>
      <c r="E26" s="26">
        <v>34</v>
      </c>
      <c r="F26" s="26">
        <v>2</v>
      </c>
      <c r="G26" s="5">
        <f t="shared" si="0"/>
        <v>17</v>
      </c>
      <c r="H26" s="20">
        <v>1</v>
      </c>
      <c r="I26" s="21">
        <v>1</v>
      </c>
      <c r="J26" s="39">
        <v>6</v>
      </c>
      <c r="K26" s="40">
        <v>3.45</v>
      </c>
      <c r="L26" s="34">
        <v>2</v>
      </c>
      <c r="M26" s="32">
        <v>2.84</v>
      </c>
      <c r="N26" s="8" t="s">
        <v>108</v>
      </c>
      <c r="O26" s="33" t="s">
        <v>108</v>
      </c>
      <c r="P26" s="43">
        <v>3.11</v>
      </c>
      <c r="Q26" s="44" t="s">
        <v>111</v>
      </c>
      <c r="R26" s="44" t="s">
        <v>111</v>
      </c>
      <c r="S26" s="44" t="s">
        <v>111</v>
      </c>
      <c r="T26" s="40" t="s">
        <v>108</v>
      </c>
      <c r="U26" s="11">
        <v>969.4</v>
      </c>
      <c r="V26" s="7" t="s">
        <v>108</v>
      </c>
      <c r="W26" s="8" t="s">
        <v>108</v>
      </c>
      <c r="X26" s="8" t="s">
        <v>108</v>
      </c>
      <c r="Y26" s="10" t="s">
        <v>108</v>
      </c>
    </row>
    <row r="27" spans="1:25" x14ac:dyDescent="0.3">
      <c r="A27" s="22" t="s">
        <v>11</v>
      </c>
      <c r="B27" s="23" t="s">
        <v>23</v>
      </c>
      <c r="C27" s="24" t="s">
        <v>51</v>
      </c>
      <c r="D27" s="25">
        <v>43</v>
      </c>
      <c r="E27" s="26">
        <v>665</v>
      </c>
      <c r="F27" s="26">
        <v>43</v>
      </c>
      <c r="G27" s="5">
        <f t="shared" si="0"/>
        <v>15.465116279069768</v>
      </c>
      <c r="H27" s="20">
        <v>30</v>
      </c>
      <c r="I27" s="21">
        <v>22</v>
      </c>
      <c r="J27" s="39">
        <v>130</v>
      </c>
      <c r="K27" s="40">
        <v>3.62</v>
      </c>
      <c r="L27" s="34">
        <v>43</v>
      </c>
      <c r="M27" s="32">
        <v>3.46</v>
      </c>
      <c r="N27" s="8">
        <v>0.42</v>
      </c>
      <c r="O27" s="33">
        <v>3.79</v>
      </c>
      <c r="P27" s="43">
        <v>3.64</v>
      </c>
      <c r="Q27" s="44">
        <v>0.4</v>
      </c>
      <c r="R27" s="40">
        <v>3.73</v>
      </c>
      <c r="S27" s="40">
        <v>3.81</v>
      </c>
      <c r="T27" s="40">
        <v>3.88</v>
      </c>
      <c r="U27" s="11">
        <v>962.77</v>
      </c>
      <c r="V27" s="7">
        <v>8.14</v>
      </c>
      <c r="W27" s="8">
        <v>961.86</v>
      </c>
      <c r="X27" s="8">
        <v>957.99</v>
      </c>
      <c r="Y27" s="10">
        <v>954.53</v>
      </c>
    </row>
    <row r="28" spans="1:25" x14ac:dyDescent="0.3">
      <c r="A28" s="22" t="s">
        <v>11</v>
      </c>
      <c r="B28" s="23" t="s">
        <v>28</v>
      </c>
      <c r="C28" s="24" t="s">
        <v>53</v>
      </c>
      <c r="D28" s="25">
        <v>13</v>
      </c>
      <c r="E28" s="26">
        <v>211</v>
      </c>
      <c r="F28" s="26">
        <v>13</v>
      </c>
      <c r="G28" s="5">
        <f t="shared" si="0"/>
        <v>16.23076923076923</v>
      </c>
      <c r="H28" s="20">
        <v>4</v>
      </c>
      <c r="I28" s="21">
        <v>4</v>
      </c>
      <c r="J28" s="39">
        <v>39</v>
      </c>
      <c r="K28" s="40">
        <v>3.98</v>
      </c>
      <c r="L28" s="34">
        <v>13</v>
      </c>
      <c r="M28" s="32">
        <v>3.87</v>
      </c>
      <c r="N28" s="8">
        <v>0.23</v>
      </c>
      <c r="O28" s="33">
        <v>4.07</v>
      </c>
      <c r="P28" s="43">
        <v>4</v>
      </c>
      <c r="Q28" s="44">
        <v>0.23</v>
      </c>
      <c r="R28" s="40">
        <v>3.98</v>
      </c>
      <c r="S28" s="40">
        <v>4.1500000000000004</v>
      </c>
      <c r="T28" s="40">
        <v>4.25</v>
      </c>
      <c r="U28" s="11">
        <v>962.12</v>
      </c>
      <c r="V28" s="7">
        <v>7.38</v>
      </c>
      <c r="W28" s="8">
        <v>960.2</v>
      </c>
      <c r="X28" s="8">
        <v>957.44</v>
      </c>
      <c r="Y28" s="10">
        <v>956.68</v>
      </c>
    </row>
    <row r="29" spans="1:25" x14ac:dyDescent="0.3">
      <c r="A29" s="22" t="s">
        <v>11</v>
      </c>
      <c r="B29" s="23" t="s">
        <v>31</v>
      </c>
      <c r="C29" s="24" t="s">
        <v>54</v>
      </c>
      <c r="D29" s="25">
        <v>3</v>
      </c>
      <c r="E29" s="26">
        <v>59</v>
      </c>
      <c r="F29" s="26">
        <v>3</v>
      </c>
      <c r="G29" s="5">
        <f t="shared" si="0"/>
        <v>19.666666666666668</v>
      </c>
      <c r="H29" s="20">
        <v>2</v>
      </c>
      <c r="I29" s="21">
        <v>1</v>
      </c>
      <c r="J29" s="39">
        <v>9</v>
      </c>
      <c r="K29" s="40">
        <v>1.57</v>
      </c>
      <c r="L29" s="34">
        <v>3</v>
      </c>
      <c r="M29" s="32">
        <v>1.56</v>
      </c>
      <c r="N29" s="8">
        <v>7.0000000000000007E-2</v>
      </c>
      <c r="O29" s="33" t="s">
        <v>109</v>
      </c>
      <c r="P29" s="43">
        <v>1.52</v>
      </c>
      <c r="Q29" s="44">
        <v>0.05</v>
      </c>
      <c r="R29" s="40" t="s">
        <v>112</v>
      </c>
      <c r="S29" s="40" t="s">
        <v>109</v>
      </c>
      <c r="T29" s="40" t="s">
        <v>109</v>
      </c>
      <c r="U29" s="11">
        <v>969</v>
      </c>
      <c r="V29" s="7">
        <v>8.02</v>
      </c>
      <c r="W29" s="8" t="s">
        <v>109</v>
      </c>
      <c r="X29" s="8" t="s">
        <v>109</v>
      </c>
      <c r="Y29" s="10" t="s">
        <v>109</v>
      </c>
    </row>
    <row r="30" spans="1:25" x14ac:dyDescent="0.3">
      <c r="A30" s="22" t="s">
        <v>11</v>
      </c>
      <c r="B30" s="23" t="s">
        <v>34</v>
      </c>
      <c r="C30" s="24" t="s">
        <v>55</v>
      </c>
      <c r="D30" s="25">
        <v>2</v>
      </c>
      <c r="E30" s="26">
        <v>25</v>
      </c>
      <c r="F30" s="26">
        <v>2</v>
      </c>
      <c r="G30" s="5">
        <f t="shared" si="0"/>
        <v>12.5</v>
      </c>
      <c r="H30" s="20">
        <v>1</v>
      </c>
      <c r="I30" s="21">
        <v>1</v>
      </c>
      <c r="J30" s="39">
        <v>6</v>
      </c>
      <c r="K30" s="40">
        <v>1.35</v>
      </c>
      <c r="L30" s="34">
        <v>2</v>
      </c>
      <c r="M30" s="32">
        <v>1.43</v>
      </c>
      <c r="N30" s="8" t="s">
        <v>108</v>
      </c>
      <c r="O30" s="33" t="s">
        <v>108</v>
      </c>
      <c r="P30" s="43">
        <v>1.4</v>
      </c>
      <c r="Q30" s="44" t="s">
        <v>111</v>
      </c>
      <c r="R30" s="44" t="s">
        <v>111</v>
      </c>
      <c r="S30" s="44" t="s">
        <v>111</v>
      </c>
      <c r="T30" s="40" t="s">
        <v>108</v>
      </c>
      <c r="U30" s="11">
        <v>961</v>
      </c>
      <c r="V30" s="7" t="s">
        <v>108</v>
      </c>
      <c r="W30" s="8" t="s">
        <v>108</v>
      </c>
      <c r="X30" s="8" t="s">
        <v>108</v>
      </c>
      <c r="Y30" s="10" t="s">
        <v>108</v>
      </c>
    </row>
    <row r="31" spans="1:25" x14ac:dyDescent="0.3">
      <c r="A31" s="22" t="s">
        <v>11</v>
      </c>
      <c r="B31" s="23" t="s">
        <v>38</v>
      </c>
      <c r="C31" s="24" t="s">
        <v>56</v>
      </c>
      <c r="D31" s="25">
        <v>5</v>
      </c>
      <c r="E31" s="26">
        <v>79</v>
      </c>
      <c r="F31" s="26">
        <v>5</v>
      </c>
      <c r="G31" s="5">
        <f t="shared" si="0"/>
        <v>15.8</v>
      </c>
      <c r="H31" s="20">
        <v>3</v>
      </c>
      <c r="I31" s="21">
        <v>3</v>
      </c>
      <c r="J31" s="39">
        <v>15</v>
      </c>
      <c r="K31" s="40">
        <v>1.27</v>
      </c>
      <c r="L31" s="34">
        <v>5</v>
      </c>
      <c r="M31" s="32">
        <v>1.19</v>
      </c>
      <c r="N31" s="8">
        <v>0.04</v>
      </c>
      <c r="O31" s="33">
        <v>1.2</v>
      </c>
      <c r="P31" s="43">
        <v>1.31</v>
      </c>
      <c r="Q31" s="44">
        <v>0.09</v>
      </c>
      <c r="R31" s="40">
        <v>1.26</v>
      </c>
      <c r="S31" s="40">
        <v>1.27</v>
      </c>
      <c r="T31" s="40">
        <v>1.42</v>
      </c>
      <c r="U31" s="11">
        <v>960.28</v>
      </c>
      <c r="V31" s="7">
        <v>7.28</v>
      </c>
      <c r="W31" s="8">
        <v>963.2</v>
      </c>
      <c r="X31" s="8">
        <v>957.8</v>
      </c>
      <c r="Y31" s="10">
        <v>954.6</v>
      </c>
    </row>
    <row r="32" spans="1:25" x14ac:dyDescent="0.3">
      <c r="A32" s="22" t="s">
        <v>11</v>
      </c>
      <c r="B32" s="23" t="s">
        <v>40</v>
      </c>
      <c r="C32" s="24" t="s">
        <v>57</v>
      </c>
      <c r="D32" s="25">
        <v>4</v>
      </c>
      <c r="E32" s="26">
        <v>46</v>
      </c>
      <c r="F32" s="26">
        <v>4</v>
      </c>
      <c r="G32" s="5">
        <f t="shared" si="0"/>
        <v>11.5</v>
      </c>
      <c r="H32" s="20">
        <v>5</v>
      </c>
      <c r="I32" s="21">
        <v>3</v>
      </c>
      <c r="J32" s="39">
        <v>12</v>
      </c>
      <c r="K32" s="40">
        <v>4.03</v>
      </c>
      <c r="L32" s="34">
        <v>4</v>
      </c>
      <c r="M32" s="32">
        <v>3.5</v>
      </c>
      <c r="N32" s="8">
        <v>0.85</v>
      </c>
      <c r="O32" s="33">
        <v>4.03</v>
      </c>
      <c r="P32" s="43">
        <v>4.3</v>
      </c>
      <c r="Q32" s="44">
        <v>0.35</v>
      </c>
      <c r="R32" s="40">
        <v>4.28</v>
      </c>
      <c r="S32" s="40">
        <v>4.28</v>
      </c>
      <c r="T32" s="40">
        <v>4.33</v>
      </c>
      <c r="U32" s="11">
        <v>945.25</v>
      </c>
      <c r="V32" s="7">
        <v>8.4</v>
      </c>
      <c r="W32" s="8">
        <v>946</v>
      </c>
      <c r="X32" s="8">
        <v>946</v>
      </c>
      <c r="Y32" s="10">
        <v>939.6</v>
      </c>
    </row>
    <row r="33" spans="1:25" x14ac:dyDescent="0.3">
      <c r="A33" s="22" t="s">
        <v>11</v>
      </c>
      <c r="B33" s="23" t="s">
        <v>40</v>
      </c>
      <c r="C33" s="24" t="s">
        <v>58</v>
      </c>
      <c r="D33" s="25">
        <v>3</v>
      </c>
      <c r="E33" s="26">
        <v>41</v>
      </c>
      <c r="F33" s="26">
        <v>3</v>
      </c>
      <c r="G33" s="5">
        <f t="shared" si="0"/>
        <v>13.666666666666666</v>
      </c>
      <c r="H33" s="20">
        <v>1</v>
      </c>
      <c r="I33" s="21">
        <v>1</v>
      </c>
      <c r="J33" s="39">
        <v>9</v>
      </c>
      <c r="K33" s="40">
        <v>3.79</v>
      </c>
      <c r="L33" s="34">
        <v>3</v>
      </c>
      <c r="M33" s="32">
        <v>3.81</v>
      </c>
      <c r="N33" s="8">
        <v>0.08</v>
      </c>
      <c r="O33" s="33" t="s">
        <v>109</v>
      </c>
      <c r="P33" s="43">
        <v>3.88</v>
      </c>
      <c r="Q33" s="44">
        <v>0.04</v>
      </c>
      <c r="R33" s="40" t="s">
        <v>112</v>
      </c>
      <c r="S33" s="40" t="s">
        <v>109</v>
      </c>
      <c r="T33" s="40" t="s">
        <v>109</v>
      </c>
      <c r="U33" s="11">
        <v>976.53</v>
      </c>
      <c r="V33" s="7">
        <v>1.86</v>
      </c>
      <c r="W33" s="8" t="s">
        <v>109</v>
      </c>
      <c r="X33" s="8" t="s">
        <v>109</v>
      </c>
      <c r="Y33" s="10" t="s">
        <v>109</v>
      </c>
    </row>
    <row r="34" spans="1:25" x14ac:dyDescent="0.3">
      <c r="A34" s="22" t="s">
        <v>11</v>
      </c>
      <c r="B34" s="23" t="s">
        <v>40</v>
      </c>
      <c r="C34" s="24" t="s">
        <v>59</v>
      </c>
      <c r="D34" s="25">
        <v>3</v>
      </c>
      <c r="E34" s="26">
        <v>49</v>
      </c>
      <c r="F34" s="26">
        <v>3</v>
      </c>
      <c r="G34" s="5">
        <f t="shared" si="0"/>
        <v>16.333333333333332</v>
      </c>
      <c r="H34" s="20">
        <v>5</v>
      </c>
      <c r="I34" s="21">
        <v>2</v>
      </c>
      <c r="J34" s="39">
        <v>9</v>
      </c>
      <c r="K34" s="40">
        <v>4.6399999999999997</v>
      </c>
      <c r="L34" s="34">
        <v>3</v>
      </c>
      <c r="M34" s="32">
        <v>4.6100000000000003</v>
      </c>
      <c r="N34" s="8">
        <v>0.38</v>
      </c>
      <c r="O34" s="33" t="s">
        <v>109</v>
      </c>
      <c r="P34" s="43">
        <v>4.46</v>
      </c>
      <c r="Q34" s="44">
        <v>0.18</v>
      </c>
      <c r="R34" s="40" t="s">
        <v>112</v>
      </c>
      <c r="S34" s="40" t="s">
        <v>109</v>
      </c>
      <c r="T34" s="40" t="s">
        <v>109</v>
      </c>
      <c r="U34" s="11">
        <v>965.6</v>
      </c>
      <c r="V34" s="7">
        <v>11.88</v>
      </c>
      <c r="W34" s="8" t="s">
        <v>109</v>
      </c>
      <c r="X34" s="8" t="s">
        <v>109</v>
      </c>
      <c r="Y34" s="10" t="s">
        <v>109</v>
      </c>
    </row>
    <row r="35" spans="1:25" x14ac:dyDescent="0.3">
      <c r="A35" s="22" t="s">
        <v>11</v>
      </c>
      <c r="B35" s="23" t="s">
        <v>40</v>
      </c>
      <c r="C35" s="24" t="s">
        <v>60</v>
      </c>
      <c r="D35" s="25">
        <v>3</v>
      </c>
      <c r="E35" s="26">
        <v>52</v>
      </c>
      <c r="F35" s="26">
        <v>3</v>
      </c>
      <c r="G35" s="5">
        <f t="shared" si="0"/>
        <v>17.333333333333332</v>
      </c>
      <c r="H35" s="20">
        <v>1</v>
      </c>
      <c r="I35" s="21">
        <v>1</v>
      </c>
      <c r="J35" s="39">
        <v>9</v>
      </c>
      <c r="K35" s="40">
        <v>3.67</v>
      </c>
      <c r="L35" s="34">
        <v>3</v>
      </c>
      <c r="M35" s="32">
        <v>3.54</v>
      </c>
      <c r="N35" s="8">
        <v>0.3</v>
      </c>
      <c r="O35" s="33" t="s">
        <v>109</v>
      </c>
      <c r="P35" s="43">
        <v>3.95</v>
      </c>
      <c r="Q35" s="44">
        <v>0.28000000000000003</v>
      </c>
      <c r="R35" s="40" t="s">
        <v>112</v>
      </c>
      <c r="S35" s="40" t="s">
        <v>109</v>
      </c>
      <c r="T35" s="40" t="s">
        <v>109</v>
      </c>
      <c r="U35" s="11">
        <v>962.93</v>
      </c>
      <c r="V35" s="7">
        <v>4.34</v>
      </c>
      <c r="W35" s="8" t="s">
        <v>109</v>
      </c>
      <c r="X35" s="8" t="s">
        <v>109</v>
      </c>
      <c r="Y35" s="10" t="s">
        <v>109</v>
      </c>
    </row>
    <row r="36" spans="1:25" x14ac:dyDescent="0.3">
      <c r="A36" s="22" t="s">
        <v>11</v>
      </c>
      <c r="B36" s="23" t="s">
        <v>40</v>
      </c>
      <c r="C36" s="24" t="s">
        <v>61</v>
      </c>
      <c r="D36" s="25">
        <v>4</v>
      </c>
      <c r="E36" s="26">
        <v>65</v>
      </c>
      <c r="F36" s="26">
        <v>2</v>
      </c>
      <c r="G36" s="5">
        <f t="shared" si="0"/>
        <v>16.25</v>
      </c>
      <c r="H36" s="20">
        <v>4</v>
      </c>
      <c r="I36" s="21">
        <v>1</v>
      </c>
      <c r="J36" s="39">
        <v>12</v>
      </c>
      <c r="K36" s="40">
        <v>3.65</v>
      </c>
      <c r="L36" s="34">
        <v>4</v>
      </c>
      <c r="M36" s="32">
        <v>3.52</v>
      </c>
      <c r="N36" s="8">
        <v>0.26</v>
      </c>
      <c r="O36" s="33">
        <v>3.63</v>
      </c>
      <c r="P36" s="43">
        <v>3.65</v>
      </c>
      <c r="Q36" s="44" t="s">
        <v>111</v>
      </c>
      <c r="R36" s="44" t="s">
        <v>111</v>
      </c>
      <c r="S36" s="44" t="s">
        <v>111</v>
      </c>
      <c r="T36" s="40" t="s">
        <v>108</v>
      </c>
      <c r="U36" s="11">
        <v>961.6</v>
      </c>
      <c r="V36" s="7" t="s">
        <v>108</v>
      </c>
      <c r="W36" s="8" t="s">
        <v>108</v>
      </c>
      <c r="X36" s="8" t="s">
        <v>108</v>
      </c>
      <c r="Y36" s="10" t="s">
        <v>108</v>
      </c>
    </row>
    <row r="37" spans="1:25" x14ac:dyDescent="0.3">
      <c r="A37" s="22" t="s">
        <v>11</v>
      </c>
      <c r="B37" s="23" t="s">
        <v>40</v>
      </c>
      <c r="C37" s="24" t="s">
        <v>62</v>
      </c>
      <c r="D37" s="25">
        <v>4</v>
      </c>
      <c r="E37" s="26">
        <v>47</v>
      </c>
      <c r="F37" s="26">
        <v>3</v>
      </c>
      <c r="G37" s="5">
        <f t="shared" si="0"/>
        <v>11.75</v>
      </c>
      <c r="H37" s="20">
        <v>2</v>
      </c>
      <c r="I37" s="21">
        <v>1</v>
      </c>
      <c r="J37" s="39">
        <v>12</v>
      </c>
      <c r="K37" s="40">
        <v>4.2699999999999996</v>
      </c>
      <c r="L37" s="34">
        <v>4</v>
      </c>
      <c r="M37" s="32">
        <v>4.17</v>
      </c>
      <c r="N37" s="8">
        <v>0.24</v>
      </c>
      <c r="O37" s="33">
        <v>4.3499999999999996</v>
      </c>
      <c r="P37" s="43">
        <v>4.2</v>
      </c>
      <c r="Q37" s="44">
        <v>0.23</v>
      </c>
      <c r="R37" s="40" t="s">
        <v>112</v>
      </c>
      <c r="S37" s="40" t="s">
        <v>109</v>
      </c>
      <c r="T37" s="40" t="s">
        <v>109</v>
      </c>
      <c r="U37" s="11">
        <v>971.87</v>
      </c>
      <c r="V37" s="7">
        <v>7.32</v>
      </c>
      <c r="W37" s="8" t="s">
        <v>109</v>
      </c>
      <c r="X37" s="8" t="s">
        <v>109</v>
      </c>
      <c r="Y37" s="10" t="s">
        <v>109</v>
      </c>
    </row>
    <row r="38" spans="1:25" x14ac:dyDescent="0.3">
      <c r="A38" s="22" t="s">
        <v>11</v>
      </c>
      <c r="B38" s="23" t="s">
        <v>40</v>
      </c>
      <c r="C38" s="24" t="s">
        <v>63</v>
      </c>
      <c r="D38" s="25">
        <v>7</v>
      </c>
      <c r="E38" s="26">
        <v>74</v>
      </c>
      <c r="F38" s="26">
        <v>7</v>
      </c>
      <c r="G38" s="5">
        <f t="shared" si="0"/>
        <v>10.571428571428571</v>
      </c>
      <c r="H38" s="20">
        <v>4</v>
      </c>
      <c r="I38" s="21">
        <v>3</v>
      </c>
      <c r="J38" s="39">
        <v>21</v>
      </c>
      <c r="K38" s="40">
        <v>3.76</v>
      </c>
      <c r="L38" s="34">
        <v>7</v>
      </c>
      <c r="M38" s="32">
        <v>3.81</v>
      </c>
      <c r="N38" s="8">
        <v>0.22</v>
      </c>
      <c r="O38" s="33">
        <v>4.0199999999999996</v>
      </c>
      <c r="P38" s="43">
        <v>3.89</v>
      </c>
      <c r="Q38" s="44">
        <v>0.13</v>
      </c>
      <c r="R38" s="40">
        <v>3.81</v>
      </c>
      <c r="S38" s="40">
        <v>3.85</v>
      </c>
      <c r="T38" s="40">
        <v>4.0199999999999996</v>
      </c>
      <c r="U38" s="11">
        <v>962.97</v>
      </c>
      <c r="V38" s="7">
        <v>4.7699999999999996</v>
      </c>
      <c r="W38" s="8">
        <v>964.4</v>
      </c>
      <c r="X38" s="8">
        <v>963.2</v>
      </c>
      <c r="Y38" s="10">
        <v>959.4</v>
      </c>
    </row>
    <row r="39" spans="1:25" x14ac:dyDescent="0.3">
      <c r="A39" s="22" t="s">
        <v>11</v>
      </c>
      <c r="B39" s="23" t="s">
        <v>40</v>
      </c>
      <c r="C39" s="24" t="s">
        <v>64</v>
      </c>
      <c r="D39" s="25">
        <v>4</v>
      </c>
      <c r="E39" s="26">
        <v>61</v>
      </c>
      <c r="F39" s="26">
        <v>4</v>
      </c>
      <c r="G39" s="5">
        <f t="shared" si="0"/>
        <v>15.25</v>
      </c>
      <c r="H39" s="20">
        <v>3</v>
      </c>
      <c r="I39" s="21">
        <v>2</v>
      </c>
      <c r="J39" s="39">
        <v>12</v>
      </c>
      <c r="K39" s="40">
        <v>4.01</v>
      </c>
      <c r="L39" s="34">
        <v>4</v>
      </c>
      <c r="M39" s="32">
        <v>3.59</v>
      </c>
      <c r="N39" s="8">
        <v>0.37</v>
      </c>
      <c r="O39" s="33">
        <v>3.82</v>
      </c>
      <c r="P39" s="43">
        <v>4.13</v>
      </c>
      <c r="Q39" s="44">
        <v>0.28000000000000003</v>
      </c>
      <c r="R39" s="40">
        <v>3.93</v>
      </c>
      <c r="S39" s="40">
        <v>3.93</v>
      </c>
      <c r="T39" s="40">
        <v>4.24</v>
      </c>
      <c r="U39" s="11">
        <v>957.95</v>
      </c>
      <c r="V39" s="7">
        <v>8.3699999999999992</v>
      </c>
      <c r="W39" s="8">
        <v>962.4</v>
      </c>
      <c r="X39" s="8">
        <v>962.4</v>
      </c>
      <c r="Y39" s="10">
        <v>951.2</v>
      </c>
    </row>
    <row r="40" spans="1:25" x14ac:dyDescent="0.3">
      <c r="A40" s="22" t="s">
        <v>11</v>
      </c>
      <c r="B40" s="23" t="s">
        <v>40</v>
      </c>
      <c r="C40" s="24" t="s">
        <v>65</v>
      </c>
      <c r="D40" s="25">
        <v>7</v>
      </c>
      <c r="E40" s="26">
        <v>79</v>
      </c>
      <c r="F40" s="26">
        <v>7</v>
      </c>
      <c r="G40" s="5">
        <f t="shared" si="0"/>
        <v>11.285714285714286</v>
      </c>
      <c r="H40" s="20">
        <v>2</v>
      </c>
      <c r="I40" s="21">
        <v>2</v>
      </c>
      <c r="J40" s="39">
        <v>21</v>
      </c>
      <c r="K40" s="40">
        <v>4.66</v>
      </c>
      <c r="L40" s="34">
        <v>7</v>
      </c>
      <c r="M40" s="32">
        <v>4.6100000000000003</v>
      </c>
      <c r="N40" s="8">
        <v>0.47</v>
      </c>
      <c r="O40" s="33">
        <v>4.7300000000000004</v>
      </c>
      <c r="P40" s="43">
        <v>4.71</v>
      </c>
      <c r="Q40" s="44">
        <v>0.36</v>
      </c>
      <c r="R40" s="40">
        <v>4.42</v>
      </c>
      <c r="S40" s="40">
        <v>4.72</v>
      </c>
      <c r="T40" s="40">
        <v>4.7300000000000004</v>
      </c>
      <c r="U40" s="11">
        <v>968.54</v>
      </c>
      <c r="V40" s="7">
        <v>8.0500000000000007</v>
      </c>
      <c r="W40" s="8">
        <v>972.4</v>
      </c>
      <c r="X40" s="8">
        <v>965</v>
      </c>
      <c r="Y40" s="10">
        <v>963.8</v>
      </c>
    </row>
    <row r="41" spans="1:25" x14ac:dyDescent="0.3">
      <c r="A41" s="22" t="s">
        <v>11</v>
      </c>
      <c r="B41" s="23" t="s">
        <v>40</v>
      </c>
      <c r="C41" s="24" t="s">
        <v>66</v>
      </c>
      <c r="D41" s="25">
        <v>4</v>
      </c>
      <c r="E41" s="26">
        <v>72</v>
      </c>
      <c r="F41" s="26">
        <v>4</v>
      </c>
      <c r="G41" s="5">
        <f t="shared" si="0"/>
        <v>18</v>
      </c>
      <c r="H41" s="20">
        <v>7</v>
      </c>
      <c r="I41" s="21">
        <v>4</v>
      </c>
      <c r="J41" s="39">
        <v>13</v>
      </c>
      <c r="K41" s="40">
        <v>3.94</v>
      </c>
      <c r="L41" s="34">
        <v>4</v>
      </c>
      <c r="M41" s="32">
        <v>3.66</v>
      </c>
      <c r="N41" s="8">
        <v>0.27</v>
      </c>
      <c r="O41" s="33">
        <v>4.0199999999999996</v>
      </c>
      <c r="P41" s="43">
        <v>4.1100000000000003</v>
      </c>
      <c r="Q41" s="44">
        <v>0.19</v>
      </c>
      <c r="R41" s="40">
        <v>4.16</v>
      </c>
      <c r="S41" s="40">
        <v>4.16</v>
      </c>
      <c r="T41" s="40">
        <v>4.21</v>
      </c>
      <c r="U41" s="11">
        <v>947.35</v>
      </c>
      <c r="V41" s="7">
        <v>2.62</v>
      </c>
      <c r="W41" s="8">
        <v>947.4</v>
      </c>
      <c r="X41" s="8">
        <v>947.4</v>
      </c>
      <c r="Y41" s="10">
        <v>947</v>
      </c>
    </row>
    <row r="42" spans="1:25" x14ac:dyDescent="0.3">
      <c r="A42" s="22" t="s">
        <v>11</v>
      </c>
      <c r="B42" s="23" t="s">
        <v>40</v>
      </c>
      <c r="C42" s="24" t="s">
        <v>67</v>
      </c>
      <c r="D42" s="25">
        <v>6</v>
      </c>
      <c r="E42" s="26">
        <v>69</v>
      </c>
      <c r="F42" s="26">
        <v>6</v>
      </c>
      <c r="G42" s="5">
        <f t="shared" si="0"/>
        <v>11.5</v>
      </c>
      <c r="H42" s="20">
        <v>6</v>
      </c>
      <c r="I42" s="21">
        <v>5</v>
      </c>
      <c r="J42" s="39">
        <v>18</v>
      </c>
      <c r="K42" s="40">
        <v>4.1399999999999997</v>
      </c>
      <c r="L42" s="34">
        <v>6</v>
      </c>
      <c r="M42" s="32">
        <v>3.96</v>
      </c>
      <c r="N42" s="8">
        <v>0.44</v>
      </c>
      <c r="O42" s="33">
        <v>4.26</v>
      </c>
      <c r="P42" s="43">
        <v>4.04</v>
      </c>
      <c r="Q42" s="44">
        <v>0.27</v>
      </c>
      <c r="R42" s="40">
        <v>4.09</v>
      </c>
      <c r="S42" s="40">
        <v>4.13</v>
      </c>
      <c r="T42" s="40">
        <v>4.2</v>
      </c>
      <c r="U42" s="11">
        <v>961.03</v>
      </c>
      <c r="V42" s="7">
        <v>11.84</v>
      </c>
      <c r="W42" s="8">
        <v>955.2</v>
      </c>
      <c r="X42" s="8">
        <v>952.8</v>
      </c>
      <c r="Y42" s="10">
        <v>952.8</v>
      </c>
    </row>
    <row r="43" spans="1:25" x14ac:dyDescent="0.3">
      <c r="A43" s="22" t="s">
        <v>11</v>
      </c>
      <c r="B43" s="23" t="s">
        <v>40</v>
      </c>
      <c r="C43" s="24" t="s">
        <v>68</v>
      </c>
      <c r="D43" s="25">
        <v>18</v>
      </c>
      <c r="E43" s="26">
        <v>196</v>
      </c>
      <c r="F43" s="26">
        <v>18</v>
      </c>
      <c r="G43" s="5">
        <f t="shared" si="0"/>
        <v>10.888888888888889</v>
      </c>
      <c r="H43" s="20">
        <v>6</v>
      </c>
      <c r="I43" s="21">
        <v>5</v>
      </c>
      <c r="J43" s="39">
        <v>55</v>
      </c>
      <c r="K43" s="40">
        <v>4.1399999999999997</v>
      </c>
      <c r="L43" s="34">
        <v>18</v>
      </c>
      <c r="M43" s="32">
        <v>3.96</v>
      </c>
      <c r="N43" s="8">
        <v>0.39</v>
      </c>
      <c r="O43" s="33">
        <v>4.28</v>
      </c>
      <c r="P43" s="43">
        <v>4.1500000000000004</v>
      </c>
      <c r="Q43" s="44">
        <v>0.37</v>
      </c>
      <c r="R43" s="40">
        <v>4.07</v>
      </c>
      <c r="S43" s="40">
        <v>4.28</v>
      </c>
      <c r="T43" s="40">
        <v>4.5199999999999996</v>
      </c>
      <c r="U43" s="11">
        <v>972.79</v>
      </c>
      <c r="V43" s="7">
        <v>11.53</v>
      </c>
      <c r="W43" s="8">
        <v>970.96</v>
      </c>
      <c r="X43" s="8">
        <v>964.88</v>
      </c>
      <c r="Y43" s="10">
        <v>961.55</v>
      </c>
    </row>
    <row r="44" spans="1:25" x14ac:dyDescent="0.3">
      <c r="A44" s="22" t="s">
        <v>11</v>
      </c>
      <c r="B44" s="23" t="s">
        <v>42</v>
      </c>
      <c r="C44" s="24" t="s">
        <v>69</v>
      </c>
      <c r="D44" s="25">
        <v>24</v>
      </c>
      <c r="E44" s="26">
        <v>318</v>
      </c>
      <c r="F44" s="26">
        <v>21</v>
      </c>
      <c r="G44" s="5">
        <f t="shared" si="0"/>
        <v>13.25</v>
      </c>
      <c r="H44" s="20">
        <v>24</v>
      </c>
      <c r="I44" s="21">
        <v>11</v>
      </c>
      <c r="J44" s="39">
        <v>72</v>
      </c>
      <c r="K44" s="40">
        <v>3.69</v>
      </c>
      <c r="L44" s="34">
        <v>24</v>
      </c>
      <c r="M44" s="32">
        <v>3.49</v>
      </c>
      <c r="N44" s="8">
        <v>0.32</v>
      </c>
      <c r="O44" s="33">
        <v>3.71</v>
      </c>
      <c r="P44" s="43">
        <v>3.74</v>
      </c>
      <c r="Q44" s="44">
        <v>0.38</v>
      </c>
      <c r="R44" s="40">
        <v>3.61</v>
      </c>
      <c r="S44" s="40">
        <v>3.78</v>
      </c>
      <c r="T44" s="40">
        <v>4.07</v>
      </c>
      <c r="U44" s="11">
        <v>967.31</v>
      </c>
      <c r="V44" s="7">
        <v>11.3</v>
      </c>
      <c r="W44" s="8">
        <v>966.32</v>
      </c>
      <c r="X44" s="8">
        <v>960.93</v>
      </c>
      <c r="Y44" s="10">
        <v>955.92</v>
      </c>
    </row>
    <row r="45" spans="1:25" x14ac:dyDescent="0.3">
      <c r="A45" s="22" t="s">
        <v>11</v>
      </c>
      <c r="B45" s="23" t="s">
        <v>42</v>
      </c>
      <c r="C45" s="24" t="s">
        <v>70</v>
      </c>
      <c r="D45" s="25">
        <v>17</v>
      </c>
      <c r="E45" s="26">
        <v>225</v>
      </c>
      <c r="F45" s="26">
        <v>17</v>
      </c>
      <c r="G45" s="5">
        <f t="shared" si="0"/>
        <v>13.235294117647058</v>
      </c>
      <c r="H45" s="20">
        <v>7</v>
      </c>
      <c r="I45" s="21">
        <v>7</v>
      </c>
      <c r="J45" s="39">
        <v>51</v>
      </c>
      <c r="K45" s="40">
        <v>4.01</v>
      </c>
      <c r="L45" s="34">
        <v>17</v>
      </c>
      <c r="M45" s="32">
        <v>3.66</v>
      </c>
      <c r="N45" s="8">
        <v>0.36</v>
      </c>
      <c r="O45" s="33">
        <v>4</v>
      </c>
      <c r="P45" s="43">
        <v>4.08</v>
      </c>
      <c r="Q45" s="44">
        <v>0.47</v>
      </c>
      <c r="R45" s="40">
        <v>4.03</v>
      </c>
      <c r="S45" s="40">
        <v>4.16</v>
      </c>
      <c r="T45" s="40">
        <v>4.54</v>
      </c>
      <c r="U45" s="11">
        <v>965.3</v>
      </c>
      <c r="V45" s="7">
        <v>11.27</v>
      </c>
      <c r="W45" s="8">
        <v>966.87</v>
      </c>
      <c r="X45" s="8">
        <v>958.73</v>
      </c>
      <c r="Y45" s="10">
        <v>954</v>
      </c>
    </row>
    <row r="46" spans="1:25" x14ac:dyDescent="0.3">
      <c r="A46" s="22" t="s">
        <v>11</v>
      </c>
      <c r="B46" s="23" t="s">
        <v>44</v>
      </c>
      <c r="C46" s="24" t="s">
        <v>72</v>
      </c>
      <c r="D46" s="25">
        <v>4</v>
      </c>
      <c r="E46" s="26">
        <v>48</v>
      </c>
      <c r="F46" s="26">
        <v>3</v>
      </c>
      <c r="G46" s="5">
        <f t="shared" si="0"/>
        <v>12</v>
      </c>
      <c r="H46" s="20" t="s">
        <v>113</v>
      </c>
      <c r="I46" s="21" t="s">
        <v>113</v>
      </c>
      <c r="J46" s="39">
        <v>13</v>
      </c>
      <c r="K46" s="40">
        <v>1.35</v>
      </c>
      <c r="L46" s="34">
        <v>4</v>
      </c>
      <c r="M46" s="32">
        <v>1.44</v>
      </c>
      <c r="N46" s="8">
        <v>0.19</v>
      </c>
      <c r="O46" s="33">
        <v>1.37</v>
      </c>
      <c r="P46" s="43">
        <v>1.48</v>
      </c>
      <c r="Q46" s="44">
        <v>0.2</v>
      </c>
      <c r="R46" s="40" t="s">
        <v>112</v>
      </c>
      <c r="S46" s="40" t="s">
        <v>109</v>
      </c>
      <c r="T46" s="40" t="s">
        <v>109</v>
      </c>
      <c r="U46" s="11">
        <v>962.47</v>
      </c>
      <c r="V46" s="7">
        <v>5.99</v>
      </c>
      <c r="W46" s="8" t="s">
        <v>109</v>
      </c>
      <c r="X46" s="8" t="s">
        <v>109</v>
      </c>
      <c r="Y46" s="10" t="s">
        <v>109</v>
      </c>
    </row>
    <row r="47" spans="1:25" x14ac:dyDescent="0.3">
      <c r="A47" s="22" t="s">
        <v>11</v>
      </c>
      <c r="B47" s="23" t="s">
        <v>46</v>
      </c>
      <c r="C47" s="24" t="s">
        <v>73</v>
      </c>
      <c r="D47" s="25">
        <v>12</v>
      </c>
      <c r="E47" s="26">
        <v>132</v>
      </c>
      <c r="F47" s="26">
        <v>12</v>
      </c>
      <c r="G47" s="5">
        <f t="shared" si="0"/>
        <v>11</v>
      </c>
      <c r="H47" s="20">
        <v>4</v>
      </c>
      <c r="I47" s="21">
        <v>4</v>
      </c>
      <c r="J47" s="39">
        <v>36</v>
      </c>
      <c r="K47" s="40">
        <v>4.8499999999999996</v>
      </c>
      <c r="L47" s="34">
        <v>12</v>
      </c>
      <c r="M47" s="32">
        <v>4.54</v>
      </c>
      <c r="N47" s="8">
        <v>0.55000000000000004</v>
      </c>
      <c r="O47" s="33">
        <v>4.9000000000000004</v>
      </c>
      <c r="P47" s="43">
        <v>4.84</v>
      </c>
      <c r="Q47" s="44">
        <v>0.18</v>
      </c>
      <c r="R47" s="40">
        <v>4.8099999999999996</v>
      </c>
      <c r="S47" s="40">
        <v>4.9000000000000004</v>
      </c>
      <c r="T47" s="40">
        <v>4.93</v>
      </c>
      <c r="U47" s="11">
        <v>960.14</v>
      </c>
      <c r="V47" s="7">
        <v>6.65</v>
      </c>
      <c r="W47" s="8">
        <v>960.36</v>
      </c>
      <c r="X47" s="8">
        <v>958.68</v>
      </c>
      <c r="Y47" s="10">
        <v>952.82</v>
      </c>
    </row>
    <row r="48" spans="1:25" x14ac:dyDescent="0.3">
      <c r="A48" s="22" t="s">
        <v>11</v>
      </c>
      <c r="B48" s="23" t="s">
        <v>48</v>
      </c>
      <c r="C48" s="24" t="s">
        <v>74</v>
      </c>
      <c r="D48" s="25">
        <v>8</v>
      </c>
      <c r="E48" s="26">
        <v>61</v>
      </c>
      <c r="F48" s="26">
        <v>8</v>
      </c>
      <c r="G48" s="5">
        <f t="shared" si="0"/>
        <v>7.625</v>
      </c>
      <c r="H48" s="20">
        <v>1</v>
      </c>
      <c r="I48" s="21">
        <v>1</v>
      </c>
      <c r="J48" s="39">
        <v>24</v>
      </c>
      <c r="K48" s="40">
        <v>4.84</v>
      </c>
      <c r="L48" s="34">
        <v>8</v>
      </c>
      <c r="M48" s="32">
        <v>4.74</v>
      </c>
      <c r="N48" s="8">
        <v>0.37</v>
      </c>
      <c r="O48" s="33">
        <v>4.97</v>
      </c>
      <c r="P48" s="43">
        <v>4.76</v>
      </c>
      <c r="Q48" s="44">
        <v>0.36</v>
      </c>
      <c r="R48" s="40">
        <v>4.8899999999999997</v>
      </c>
      <c r="S48" s="40">
        <v>4.96</v>
      </c>
      <c r="T48" s="40">
        <v>4.97</v>
      </c>
      <c r="U48" s="11">
        <v>956.28</v>
      </c>
      <c r="V48" s="7">
        <v>5.0999999999999996</v>
      </c>
      <c r="W48" s="8">
        <v>955.4</v>
      </c>
      <c r="X48" s="8">
        <v>954.4</v>
      </c>
      <c r="Y48" s="10">
        <v>953.4</v>
      </c>
    </row>
    <row r="49" spans="1:25" x14ac:dyDescent="0.3">
      <c r="A49" s="22" t="s">
        <v>11</v>
      </c>
      <c r="B49" s="23" t="s">
        <v>48</v>
      </c>
      <c r="C49" s="24" t="s">
        <v>94</v>
      </c>
      <c r="D49" s="25">
        <v>4</v>
      </c>
      <c r="E49" s="26">
        <v>41</v>
      </c>
      <c r="F49" s="26">
        <v>4</v>
      </c>
      <c r="G49" s="5">
        <f t="shared" si="0"/>
        <v>10.25</v>
      </c>
      <c r="H49" s="20">
        <v>1</v>
      </c>
      <c r="I49" s="21">
        <v>1</v>
      </c>
      <c r="J49" s="39">
        <v>12</v>
      </c>
      <c r="K49" s="40">
        <v>4.1100000000000003</v>
      </c>
      <c r="L49" s="34">
        <v>4</v>
      </c>
      <c r="M49" s="32">
        <v>4.26</v>
      </c>
      <c r="N49" s="8">
        <v>0.34</v>
      </c>
      <c r="O49" s="33">
        <v>4.49</v>
      </c>
      <c r="P49" s="43">
        <v>4.4800000000000004</v>
      </c>
      <c r="Q49" s="44">
        <v>0.16</v>
      </c>
      <c r="R49" s="40">
        <v>4.49</v>
      </c>
      <c r="S49" s="40">
        <v>4.49</v>
      </c>
      <c r="T49" s="40">
        <v>4.59</v>
      </c>
      <c r="U49" s="11">
        <v>965.5</v>
      </c>
      <c r="V49" s="7">
        <v>4.83</v>
      </c>
      <c r="W49" s="8">
        <v>964.6</v>
      </c>
      <c r="X49" s="8">
        <v>964.6</v>
      </c>
      <c r="Y49" s="10">
        <v>962.6</v>
      </c>
    </row>
    <row r="50" spans="1:25" x14ac:dyDescent="0.3">
      <c r="A50" s="22" t="s">
        <v>11</v>
      </c>
      <c r="B50" s="23" t="s">
        <v>48</v>
      </c>
      <c r="C50" s="24" t="s">
        <v>95</v>
      </c>
      <c r="D50" s="25">
        <v>4</v>
      </c>
      <c r="E50" s="26">
        <v>49</v>
      </c>
      <c r="F50" s="26">
        <v>4</v>
      </c>
      <c r="G50" s="5">
        <f t="shared" si="0"/>
        <v>12.25</v>
      </c>
      <c r="H50" s="20">
        <v>1</v>
      </c>
      <c r="I50" s="21">
        <v>1</v>
      </c>
      <c r="J50" s="39">
        <v>12</v>
      </c>
      <c r="K50" s="40">
        <v>3.9</v>
      </c>
      <c r="L50" s="34">
        <v>4</v>
      </c>
      <c r="M50" s="32">
        <v>3.58</v>
      </c>
      <c r="N50" s="8">
        <v>0.63</v>
      </c>
      <c r="O50" s="33">
        <v>3.96</v>
      </c>
      <c r="P50" s="43">
        <v>3.69</v>
      </c>
      <c r="Q50" s="44">
        <v>0.71</v>
      </c>
      <c r="R50" s="40">
        <v>3.91</v>
      </c>
      <c r="S50" s="40">
        <v>3.91</v>
      </c>
      <c r="T50" s="40">
        <v>3.98</v>
      </c>
      <c r="U50" s="11">
        <v>962.35</v>
      </c>
      <c r="V50" s="7">
        <v>13.44</v>
      </c>
      <c r="W50" s="8">
        <v>960</v>
      </c>
      <c r="X50" s="8">
        <v>960</v>
      </c>
      <c r="Y50" s="10">
        <v>954.6</v>
      </c>
    </row>
    <row r="51" spans="1:25" x14ac:dyDescent="0.3">
      <c r="A51" s="22" t="s">
        <v>96</v>
      </c>
      <c r="B51" s="23" t="s">
        <v>14</v>
      </c>
      <c r="C51" s="24" t="s">
        <v>18</v>
      </c>
      <c r="D51" s="25">
        <v>5</v>
      </c>
      <c r="E51" s="26">
        <v>40</v>
      </c>
      <c r="F51" s="26">
        <v>5</v>
      </c>
      <c r="G51" s="5">
        <f t="shared" si="0"/>
        <v>8</v>
      </c>
      <c r="H51" s="20">
        <v>1</v>
      </c>
      <c r="I51" s="21">
        <v>1</v>
      </c>
      <c r="J51" s="39">
        <v>16</v>
      </c>
      <c r="K51" s="40">
        <v>4.38</v>
      </c>
      <c r="L51" s="34">
        <v>5</v>
      </c>
      <c r="M51" s="32">
        <v>4.1100000000000003</v>
      </c>
      <c r="N51" s="8">
        <v>0.41</v>
      </c>
      <c r="O51" s="33">
        <v>4.3600000000000003</v>
      </c>
      <c r="P51" s="43">
        <v>4.2</v>
      </c>
      <c r="Q51" s="44">
        <v>0.33</v>
      </c>
      <c r="R51" s="40">
        <v>4.0599999999999996</v>
      </c>
      <c r="S51" s="40">
        <v>4.21</v>
      </c>
      <c r="T51" s="40">
        <v>4.3600000000000003</v>
      </c>
      <c r="U51" s="11">
        <v>954.68</v>
      </c>
      <c r="V51" s="7">
        <v>12.58</v>
      </c>
      <c r="W51" s="8">
        <v>958.8</v>
      </c>
      <c r="X51" s="8">
        <v>947.4</v>
      </c>
      <c r="Y51" s="10">
        <v>945.6</v>
      </c>
    </row>
    <row r="52" spans="1:25" x14ac:dyDescent="0.3">
      <c r="A52" s="22" t="s">
        <v>16</v>
      </c>
      <c r="B52" s="23" t="s">
        <v>25</v>
      </c>
      <c r="C52" s="24" t="s">
        <v>52</v>
      </c>
      <c r="D52" s="25">
        <v>2</v>
      </c>
      <c r="E52" s="26">
        <v>36</v>
      </c>
      <c r="F52" s="26">
        <v>2</v>
      </c>
      <c r="G52" s="5">
        <f t="shared" si="0"/>
        <v>18</v>
      </c>
      <c r="H52" s="20">
        <v>1</v>
      </c>
      <c r="I52" s="21">
        <v>1</v>
      </c>
      <c r="J52" s="39">
        <v>6</v>
      </c>
      <c r="K52" s="40">
        <v>3.93</v>
      </c>
      <c r="L52" s="34">
        <v>2</v>
      </c>
      <c r="M52" s="32">
        <v>3.98</v>
      </c>
      <c r="N52" s="8" t="s">
        <v>108</v>
      </c>
      <c r="O52" s="33" t="s">
        <v>108</v>
      </c>
      <c r="P52" s="43">
        <v>4.16</v>
      </c>
      <c r="Q52" s="44" t="s">
        <v>111</v>
      </c>
      <c r="R52" s="44" t="s">
        <v>111</v>
      </c>
      <c r="S52" s="44" t="s">
        <v>111</v>
      </c>
      <c r="T52" s="40" t="s">
        <v>108</v>
      </c>
      <c r="U52" s="11">
        <v>946.8</v>
      </c>
      <c r="V52" s="7" t="s">
        <v>108</v>
      </c>
      <c r="W52" s="8" t="s">
        <v>108</v>
      </c>
      <c r="X52" s="8" t="s">
        <v>108</v>
      </c>
      <c r="Y52" s="10" t="s">
        <v>108</v>
      </c>
    </row>
    <row r="53" spans="1:25" x14ac:dyDescent="0.3">
      <c r="A53" s="22" t="s">
        <v>16</v>
      </c>
      <c r="B53" s="23" t="s">
        <v>14</v>
      </c>
      <c r="C53" s="24" t="s">
        <v>15</v>
      </c>
      <c r="D53" s="25">
        <v>1</v>
      </c>
      <c r="E53" s="26">
        <v>31</v>
      </c>
      <c r="F53" s="26">
        <v>1</v>
      </c>
      <c r="G53" s="5">
        <f t="shared" si="0"/>
        <v>31</v>
      </c>
      <c r="H53" s="20" t="s">
        <v>113</v>
      </c>
      <c r="I53" s="21" t="s">
        <v>113</v>
      </c>
      <c r="J53" s="39">
        <v>3</v>
      </c>
      <c r="K53" s="40">
        <v>4.2300000000000004</v>
      </c>
      <c r="L53" s="34">
        <v>1</v>
      </c>
      <c r="M53" s="32" t="s">
        <v>88</v>
      </c>
      <c r="N53" s="8" t="s">
        <v>88</v>
      </c>
      <c r="O53" s="33" t="s">
        <v>88</v>
      </c>
      <c r="P53" s="43" t="s">
        <v>88</v>
      </c>
      <c r="Q53" s="44" t="s">
        <v>88</v>
      </c>
      <c r="R53" s="40" t="s">
        <v>88</v>
      </c>
      <c r="S53" s="40" t="s">
        <v>88</v>
      </c>
      <c r="T53" s="40" t="s">
        <v>88</v>
      </c>
      <c r="U53" s="11" t="s">
        <v>88</v>
      </c>
      <c r="V53" s="7" t="s">
        <v>77</v>
      </c>
      <c r="W53" s="8" t="s">
        <v>88</v>
      </c>
      <c r="X53" s="8" t="s">
        <v>88</v>
      </c>
      <c r="Y53" s="10" t="s">
        <v>88</v>
      </c>
    </row>
    <row r="54" spans="1:25" x14ac:dyDescent="0.3">
      <c r="A54" s="22" t="s">
        <v>16</v>
      </c>
      <c r="B54" s="23" t="s">
        <v>14</v>
      </c>
      <c r="C54" s="24" t="s">
        <v>18</v>
      </c>
      <c r="D54" s="25">
        <v>1</v>
      </c>
      <c r="E54" s="26">
        <v>23</v>
      </c>
      <c r="F54" s="26">
        <v>1</v>
      </c>
      <c r="G54" s="5">
        <f t="shared" si="0"/>
        <v>23</v>
      </c>
      <c r="H54" s="20" t="s">
        <v>113</v>
      </c>
      <c r="I54" s="21" t="s">
        <v>113</v>
      </c>
      <c r="J54" s="39">
        <v>3</v>
      </c>
      <c r="K54" s="40">
        <v>4.3</v>
      </c>
      <c r="L54" s="34">
        <v>1</v>
      </c>
      <c r="M54" s="32" t="s">
        <v>88</v>
      </c>
      <c r="N54" s="8" t="s">
        <v>88</v>
      </c>
      <c r="O54" s="33" t="s">
        <v>88</v>
      </c>
      <c r="P54" s="43" t="s">
        <v>88</v>
      </c>
      <c r="Q54" s="44" t="s">
        <v>88</v>
      </c>
      <c r="R54" s="40" t="s">
        <v>88</v>
      </c>
      <c r="S54" s="40" t="s">
        <v>88</v>
      </c>
      <c r="T54" s="40" t="s">
        <v>88</v>
      </c>
      <c r="U54" s="11" t="s">
        <v>88</v>
      </c>
      <c r="V54" s="7" t="s">
        <v>77</v>
      </c>
      <c r="W54" s="8" t="s">
        <v>88</v>
      </c>
      <c r="X54" s="8" t="s">
        <v>88</v>
      </c>
      <c r="Y54" s="10" t="s">
        <v>88</v>
      </c>
    </row>
    <row r="55" spans="1:25" x14ac:dyDescent="0.3">
      <c r="A55" s="22" t="s">
        <v>16</v>
      </c>
      <c r="B55" s="23" t="s">
        <v>17</v>
      </c>
      <c r="C55" s="24" t="s">
        <v>26</v>
      </c>
      <c r="D55" s="25">
        <v>1</v>
      </c>
      <c r="E55" s="26">
        <v>23</v>
      </c>
      <c r="F55" s="26">
        <v>1</v>
      </c>
      <c r="G55" s="5">
        <f t="shared" si="0"/>
        <v>23</v>
      </c>
      <c r="H55" s="20" t="s">
        <v>113</v>
      </c>
      <c r="I55" s="21" t="s">
        <v>113</v>
      </c>
      <c r="J55" s="39">
        <v>3</v>
      </c>
      <c r="K55" s="40">
        <v>5.01</v>
      </c>
      <c r="L55" s="34">
        <v>1</v>
      </c>
      <c r="M55" s="32" t="s">
        <v>88</v>
      </c>
      <c r="N55" s="8" t="s">
        <v>88</v>
      </c>
      <c r="O55" s="33" t="s">
        <v>88</v>
      </c>
      <c r="P55" s="43" t="s">
        <v>88</v>
      </c>
      <c r="Q55" s="44" t="s">
        <v>88</v>
      </c>
      <c r="R55" s="40" t="s">
        <v>88</v>
      </c>
      <c r="S55" s="40" t="s">
        <v>88</v>
      </c>
      <c r="T55" s="40" t="s">
        <v>88</v>
      </c>
      <c r="U55" s="11" t="s">
        <v>88</v>
      </c>
      <c r="V55" s="7" t="s">
        <v>77</v>
      </c>
      <c r="W55" s="8" t="s">
        <v>88</v>
      </c>
      <c r="X55" s="8" t="s">
        <v>88</v>
      </c>
      <c r="Y55" s="10" t="s">
        <v>88</v>
      </c>
    </row>
    <row r="56" spans="1:25" x14ac:dyDescent="0.3">
      <c r="A56" s="22" t="s">
        <v>16</v>
      </c>
      <c r="B56" s="23" t="s">
        <v>17</v>
      </c>
      <c r="C56" s="24" t="s">
        <v>35</v>
      </c>
      <c r="D56" s="25">
        <v>1</v>
      </c>
      <c r="E56" s="26">
        <v>11</v>
      </c>
      <c r="F56" s="26">
        <v>1</v>
      </c>
      <c r="G56" s="5">
        <f t="shared" si="0"/>
        <v>11</v>
      </c>
      <c r="H56" s="20" t="s">
        <v>113</v>
      </c>
      <c r="I56" s="21" t="s">
        <v>113</v>
      </c>
      <c r="J56" s="39">
        <v>3</v>
      </c>
      <c r="K56" s="40">
        <v>5.12</v>
      </c>
      <c r="L56" s="34">
        <v>1</v>
      </c>
      <c r="M56" s="32" t="s">
        <v>88</v>
      </c>
      <c r="N56" s="8" t="s">
        <v>88</v>
      </c>
      <c r="O56" s="33" t="s">
        <v>88</v>
      </c>
      <c r="P56" s="43" t="s">
        <v>88</v>
      </c>
      <c r="Q56" s="44" t="s">
        <v>88</v>
      </c>
      <c r="R56" s="40" t="s">
        <v>88</v>
      </c>
      <c r="S56" s="40" t="s">
        <v>88</v>
      </c>
      <c r="T56" s="40" t="s">
        <v>88</v>
      </c>
      <c r="U56" s="11" t="s">
        <v>88</v>
      </c>
      <c r="V56" s="7" t="s">
        <v>77</v>
      </c>
      <c r="W56" s="8" t="s">
        <v>88</v>
      </c>
      <c r="X56" s="8" t="s">
        <v>88</v>
      </c>
      <c r="Y56" s="10" t="s">
        <v>88</v>
      </c>
    </row>
    <row r="57" spans="1:25" x14ac:dyDescent="0.3">
      <c r="A57" s="22" t="s">
        <v>16</v>
      </c>
      <c r="B57" s="23" t="s">
        <v>23</v>
      </c>
      <c r="C57" s="24" t="s">
        <v>51</v>
      </c>
      <c r="D57" s="25">
        <v>2</v>
      </c>
      <c r="E57" s="26">
        <v>40</v>
      </c>
      <c r="F57" s="26">
        <v>2</v>
      </c>
      <c r="G57" s="5">
        <f t="shared" si="0"/>
        <v>20</v>
      </c>
      <c r="H57" s="20" t="s">
        <v>113</v>
      </c>
      <c r="I57" s="21" t="s">
        <v>113</v>
      </c>
      <c r="J57" s="39">
        <v>6</v>
      </c>
      <c r="K57" s="40">
        <v>3.86</v>
      </c>
      <c r="L57" s="34">
        <v>2</v>
      </c>
      <c r="M57" s="32">
        <v>3.78</v>
      </c>
      <c r="N57" s="8" t="s">
        <v>108</v>
      </c>
      <c r="O57" s="33" t="s">
        <v>108</v>
      </c>
      <c r="P57" s="43">
        <v>3.78</v>
      </c>
      <c r="Q57" s="44" t="s">
        <v>111</v>
      </c>
      <c r="R57" s="44" t="s">
        <v>111</v>
      </c>
      <c r="S57" s="44" t="s">
        <v>111</v>
      </c>
      <c r="T57" s="40" t="s">
        <v>108</v>
      </c>
      <c r="U57" s="11">
        <v>966.5</v>
      </c>
      <c r="V57" s="7" t="s">
        <v>108</v>
      </c>
      <c r="W57" s="8" t="s">
        <v>108</v>
      </c>
      <c r="X57" s="8" t="s">
        <v>108</v>
      </c>
      <c r="Y57" s="10" t="s">
        <v>108</v>
      </c>
    </row>
    <row r="58" spans="1:25" x14ac:dyDescent="0.3">
      <c r="A58" s="22" t="s">
        <v>16</v>
      </c>
      <c r="B58" s="23" t="s">
        <v>28</v>
      </c>
      <c r="C58" s="24" t="s">
        <v>53</v>
      </c>
      <c r="D58" s="25">
        <v>1</v>
      </c>
      <c r="E58" s="26">
        <v>18</v>
      </c>
      <c r="F58" s="26">
        <v>1</v>
      </c>
      <c r="G58" s="5">
        <f t="shared" si="0"/>
        <v>18</v>
      </c>
      <c r="H58" s="20" t="s">
        <v>113</v>
      </c>
      <c r="I58" s="21" t="s">
        <v>113</v>
      </c>
      <c r="J58" s="39">
        <v>3</v>
      </c>
      <c r="K58" s="40">
        <v>4.38</v>
      </c>
      <c r="L58" s="34">
        <v>1</v>
      </c>
      <c r="M58" s="32" t="s">
        <v>88</v>
      </c>
      <c r="N58" s="8" t="s">
        <v>88</v>
      </c>
      <c r="O58" s="33" t="s">
        <v>88</v>
      </c>
      <c r="P58" s="43" t="s">
        <v>88</v>
      </c>
      <c r="Q58" s="44" t="s">
        <v>88</v>
      </c>
      <c r="R58" s="40" t="s">
        <v>88</v>
      </c>
      <c r="S58" s="40" t="s">
        <v>88</v>
      </c>
      <c r="T58" s="40" t="s">
        <v>88</v>
      </c>
      <c r="U58" s="11" t="s">
        <v>88</v>
      </c>
      <c r="V58" s="7" t="s">
        <v>77</v>
      </c>
      <c r="W58" s="8" t="s">
        <v>88</v>
      </c>
      <c r="X58" s="8" t="s">
        <v>88</v>
      </c>
      <c r="Y58" s="10" t="s">
        <v>88</v>
      </c>
    </row>
    <row r="59" spans="1:25" x14ac:dyDescent="0.3">
      <c r="A59" s="22" t="s">
        <v>16</v>
      </c>
      <c r="B59" s="23" t="s">
        <v>42</v>
      </c>
      <c r="C59" s="24" t="s">
        <v>69</v>
      </c>
      <c r="D59" s="25">
        <v>1</v>
      </c>
      <c r="E59" s="26">
        <v>10</v>
      </c>
      <c r="F59" s="26">
        <v>1</v>
      </c>
      <c r="G59" s="5">
        <f t="shared" si="0"/>
        <v>10</v>
      </c>
      <c r="H59" s="20" t="s">
        <v>113</v>
      </c>
      <c r="I59" s="21" t="s">
        <v>113</v>
      </c>
      <c r="J59" s="39">
        <v>3</v>
      </c>
      <c r="K59" s="40">
        <v>5.24</v>
      </c>
      <c r="L59" s="34">
        <v>1</v>
      </c>
      <c r="M59" s="32" t="s">
        <v>88</v>
      </c>
      <c r="N59" s="8" t="s">
        <v>88</v>
      </c>
      <c r="O59" s="33" t="s">
        <v>88</v>
      </c>
      <c r="P59" s="43" t="s">
        <v>88</v>
      </c>
      <c r="Q59" s="44" t="s">
        <v>88</v>
      </c>
      <c r="R59" s="40" t="s">
        <v>88</v>
      </c>
      <c r="S59" s="40" t="s">
        <v>88</v>
      </c>
      <c r="T59" s="40" t="s">
        <v>88</v>
      </c>
      <c r="U59" s="11" t="s">
        <v>88</v>
      </c>
      <c r="V59" s="7" t="s">
        <v>77</v>
      </c>
      <c r="W59" s="8" t="s">
        <v>88</v>
      </c>
      <c r="X59" s="8" t="s">
        <v>88</v>
      </c>
      <c r="Y59" s="10" t="s">
        <v>88</v>
      </c>
    </row>
    <row r="60" spans="1:25" x14ac:dyDescent="0.3">
      <c r="A60" s="22" t="s">
        <v>16</v>
      </c>
      <c r="B60" s="23" t="s">
        <v>46</v>
      </c>
      <c r="C60" s="24" t="s">
        <v>73</v>
      </c>
      <c r="D60" s="25">
        <v>1</v>
      </c>
      <c r="E60" s="26">
        <v>10</v>
      </c>
      <c r="F60" s="26">
        <v>1</v>
      </c>
      <c r="G60" s="5">
        <f t="shared" si="0"/>
        <v>10</v>
      </c>
      <c r="H60" s="20">
        <v>1</v>
      </c>
      <c r="I60" s="21">
        <v>1</v>
      </c>
      <c r="J60" s="39">
        <v>3</v>
      </c>
      <c r="K60" s="40">
        <v>5.42</v>
      </c>
      <c r="L60" s="34">
        <v>1</v>
      </c>
      <c r="M60" s="32" t="s">
        <v>88</v>
      </c>
      <c r="N60" s="8" t="s">
        <v>88</v>
      </c>
      <c r="O60" s="33" t="s">
        <v>88</v>
      </c>
      <c r="P60" s="43" t="s">
        <v>88</v>
      </c>
      <c r="Q60" s="44" t="s">
        <v>88</v>
      </c>
      <c r="R60" s="40" t="s">
        <v>88</v>
      </c>
      <c r="S60" s="40" t="s">
        <v>88</v>
      </c>
      <c r="T60" s="40" t="s">
        <v>88</v>
      </c>
      <c r="U60" s="11" t="s">
        <v>88</v>
      </c>
      <c r="V60" s="7" t="s">
        <v>77</v>
      </c>
      <c r="W60" s="8" t="s">
        <v>88</v>
      </c>
      <c r="X60" s="8" t="s">
        <v>88</v>
      </c>
      <c r="Y60" s="10" t="s">
        <v>88</v>
      </c>
    </row>
    <row r="61" spans="1:25" x14ac:dyDescent="0.3">
      <c r="A61" s="22" t="s">
        <v>19</v>
      </c>
      <c r="B61" s="23" t="s">
        <v>12</v>
      </c>
      <c r="C61" s="24" t="s">
        <v>13</v>
      </c>
      <c r="D61" s="25">
        <v>1</v>
      </c>
      <c r="E61" s="26">
        <v>14</v>
      </c>
      <c r="F61" s="26">
        <v>1</v>
      </c>
      <c r="G61" s="5">
        <f t="shared" si="0"/>
        <v>14</v>
      </c>
      <c r="H61" s="20" t="s">
        <v>113</v>
      </c>
      <c r="I61" s="21" t="s">
        <v>113</v>
      </c>
      <c r="J61" s="39" t="s">
        <v>82</v>
      </c>
      <c r="K61" s="40" t="s">
        <v>101</v>
      </c>
      <c r="L61" s="34">
        <v>1</v>
      </c>
      <c r="M61" s="32" t="s">
        <v>88</v>
      </c>
      <c r="N61" s="8" t="s">
        <v>88</v>
      </c>
      <c r="O61" s="33" t="s">
        <v>88</v>
      </c>
      <c r="P61" s="43" t="s">
        <v>88</v>
      </c>
      <c r="Q61" s="44" t="s">
        <v>88</v>
      </c>
      <c r="R61" s="40" t="s">
        <v>88</v>
      </c>
      <c r="S61" s="40" t="s">
        <v>88</v>
      </c>
      <c r="T61" s="40" t="s">
        <v>88</v>
      </c>
      <c r="U61" s="11" t="s">
        <v>88</v>
      </c>
      <c r="V61" s="7" t="s">
        <v>77</v>
      </c>
      <c r="W61" s="8" t="s">
        <v>88</v>
      </c>
      <c r="X61" s="8" t="s">
        <v>88</v>
      </c>
      <c r="Y61" s="10" t="s">
        <v>88</v>
      </c>
    </row>
    <row r="62" spans="1:25" x14ac:dyDescent="0.3">
      <c r="A62" s="22" t="s">
        <v>19</v>
      </c>
      <c r="B62" s="23" t="s">
        <v>25</v>
      </c>
      <c r="C62" s="24" t="s">
        <v>52</v>
      </c>
      <c r="D62" s="25">
        <v>3</v>
      </c>
      <c r="E62" s="26">
        <v>21</v>
      </c>
      <c r="F62" s="26">
        <v>3</v>
      </c>
      <c r="G62" s="5">
        <f t="shared" si="0"/>
        <v>7</v>
      </c>
      <c r="H62" s="20">
        <v>2</v>
      </c>
      <c r="I62" s="21">
        <v>2</v>
      </c>
      <c r="J62" s="39" t="s">
        <v>82</v>
      </c>
      <c r="K62" s="40" t="s">
        <v>101</v>
      </c>
      <c r="L62" s="34">
        <v>3</v>
      </c>
      <c r="M62" s="32">
        <v>3.72</v>
      </c>
      <c r="N62" s="8">
        <v>0.43</v>
      </c>
      <c r="O62" s="33" t="s">
        <v>109</v>
      </c>
      <c r="P62" s="43">
        <v>4.42</v>
      </c>
      <c r="Q62" s="44">
        <v>0.52</v>
      </c>
      <c r="R62" s="40" t="s">
        <v>112</v>
      </c>
      <c r="S62" s="40" t="s">
        <v>109</v>
      </c>
      <c r="T62" s="40" t="s">
        <v>109</v>
      </c>
      <c r="U62" s="11">
        <v>959.25</v>
      </c>
      <c r="V62" s="7">
        <v>11.94</v>
      </c>
      <c r="W62" s="8" t="s">
        <v>109</v>
      </c>
      <c r="X62" s="8" t="s">
        <v>109</v>
      </c>
      <c r="Y62" s="10" t="s">
        <v>109</v>
      </c>
    </row>
    <row r="63" spans="1:25" x14ac:dyDescent="0.3">
      <c r="A63" s="22" t="s">
        <v>19</v>
      </c>
      <c r="B63" s="23" t="s">
        <v>14</v>
      </c>
      <c r="C63" s="24" t="s">
        <v>15</v>
      </c>
      <c r="D63" s="25">
        <v>2</v>
      </c>
      <c r="E63" s="26">
        <v>11</v>
      </c>
      <c r="F63" s="26">
        <v>2</v>
      </c>
      <c r="G63" s="5">
        <f t="shared" si="0"/>
        <v>5.5</v>
      </c>
      <c r="H63" s="20">
        <v>2</v>
      </c>
      <c r="I63" s="21">
        <v>2</v>
      </c>
      <c r="J63" s="39" t="s">
        <v>82</v>
      </c>
      <c r="K63" s="40" t="s">
        <v>101</v>
      </c>
      <c r="L63" s="34">
        <v>2</v>
      </c>
      <c r="M63" s="32">
        <v>4.0999999999999996</v>
      </c>
      <c r="N63" s="8" t="s">
        <v>108</v>
      </c>
      <c r="O63" s="33" t="s">
        <v>108</v>
      </c>
      <c r="P63" s="43">
        <v>4.26</v>
      </c>
      <c r="Q63" s="44" t="s">
        <v>111</v>
      </c>
      <c r="R63" s="44" t="s">
        <v>111</v>
      </c>
      <c r="S63" s="44" t="s">
        <v>111</v>
      </c>
      <c r="T63" s="40" t="s">
        <v>108</v>
      </c>
      <c r="U63" s="11">
        <v>943</v>
      </c>
      <c r="V63" s="7" t="s">
        <v>108</v>
      </c>
      <c r="W63" s="8" t="s">
        <v>108</v>
      </c>
      <c r="X63" s="8" t="s">
        <v>108</v>
      </c>
      <c r="Y63" s="10" t="s">
        <v>108</v>
      </c>
    </row>
    <row r="64" spans="1:25" x14ac:dyDescent="0.3">
      <c r="A64" s="22" t="s">
        <v>19</v>
      </c>
      <c r="B64" s="23" t="s">
        <v>14</v>
      </c>
      <c r="C64" s="24" t="s">
        <v>18</v>
      </c>
      <c r="D64" s="25">
        <v>3</v>
      </c>
      <c r="E64" s="26">
        <v>16</v>
      </c>
      <c r="F64" s="26">
        <v>3</v>
      </c>
      <c r="G64" s="5">
        <f t="shared" si="0"/>
        <v>5.333333333333333</v>
      </c>
      <c r="H64" s="20">
        <v>3</v>
      </c>
      <c r="I64" s="21">
        <v>2</v>
      </c>
      <c r="J64" s="39" t="s">
        <v>82</v>
      </c>
      <c r="K64" s="40" t="s">
        <v>101</v>
      </c>
      <c r="L64" s="34">
        <v>3</v>
      </c>
      <c r="M64" s="32">
        <v>4.2300000000000004</v>
      </c>
      <c r="N64" s="8">
        <v>0.63</v>
      </c>
      <c r="O64" s="33" t="s">
        <v>109</v>
      </c>
      <c r="P64" s="43">
        <v>5.38</v>
      </c>
      <c r="Q64" s="44">
        <v>0.3</v>
      </c>
      <c r="R64" s="40" t="s">
        <v>112</v>
      </c>
      <c r="S64" s="40" t="s">
        <v>109</v>
      </c>
      <c r="T64" s="40" t="s">
        <v>109</v>
      </c>
      <c r="U64" s="11">
        <v>942.25</v>
      </c>
      <c r="V64" s="7">
        <v>7.82</v>
      </c>
      <c r="W64" s="8" t="s">
        <v>109</v>
      </c>
      <c r="X64" s="8" t="s">
        <v>109</v>
      </c>
      <c r="Y64" s="10" t="s">
        <v>109</v>
      </c>
    </row>
    <row r="65" spans="1:25" x14ac:dyDescent="0.3">
      <c r="A65" s="22" t="s">
        <v>19</v>
      </c>
      <c r="B65" s="23" t="s">
        <v>17</v>
      </c>
      <c r="C65" s="24" t="s">
        <v>26</v>
      </c>
      <c r="D65" s="25">
        <v>6</v>
      </c>
      <c r="E65" s="26">
        <v>26</v>
      </c>
      <c r="F65" s="26">
        <v>6</v>
      </c>
      <c r="G65" s="5">
        <f t="shared" si="0"/>
        <v>4.333333333333333</v>
      </c>
      <c r="H65" s="20">
        <v>3</v>
      </c>
      <c r="I65" s="21">
        <v>3</v>
      </c>
      <c r="J65" s="39" t="s">
        <v>82</v>
      </c>
      <c r="K65" s="40" t="s">
        <v>101</v>
      </c>
      <c r="L65" s="34">
        <v>6</v>
      </c>
      <c r="M65" s="32">
        <v>4.46</v>
      </c>
      <c r="N65" s="8">
        <v>0.33</v>
      </c>
      <c r="O65" s="33">
        <v>4.67</v>
      </c>
      <c r="P65" s="43">
        <v>4.8600000000000003</v>
      </c>
      <c r="Q65" s="44">
        <v>0.46</v>
      </c>
      <c r="R65" s="40">
        <v>4.5</v>
      </c>
      <c r="S65" s="40">
        <v>5.01</v>
      </c>
      <c r="T65" s="40">
        <v>5.4</v>
      </c>
      <c r="U65" s="11">
        <v>952.5</v>
      </c>
      <c r="V65" s="7">
        <v>6.59</v>
      </c>
      <c r="W65" s="8">
        <v>952</v>
      </c>
      <c r="X65" s="8">
        <v>948.25</v>
      </c>
      <c r="Y65" s="10">
        <v>946</v>
      </c>
    </row>
    <row r="66" spans="1:25" x14ac:dyDescent="0.3">
      <c r="A66" s="22" t="s">
        <v>19</v>
      </c>
      <c r="B66" s="23" t="s">
        <v>20</v>
      </c>
      <c r="C66" s="24" t="s">
        <v>45</v>
      </c>
      <c r="D66" s="25">
        <v>1</v>
      </c>
      <c r="E66" s="26">
        <v>5</v>
      </c>
      <c r="F66" s="26">
        <v>1</v>
      </c>
      <c r="G66" s="5">
        <f t="shared" si="0"/>
        <v>5</v>
      </c>
      <c r="H66" s="20">
        <v>1</v>
      </c>
      <c r="I66" s="21">
        <v>1</v>
      </c>
      <c r="J66" s="39" t="s">
        <v>82</v>
      </c>
      <c r="K66" s="40" t="s">
        <v>101</v>
      </c>
      <c r="L66" s="34">
        <v>1</v>
      </c>
      <c r="M66" s="32" t="s">
        <v>88</v>
      </c>
      <c r="N66" s="8" t="s">
        <v>88</v>
      </c>
      <c r="O66" s="33" t="s">
        <v>88</v>
      </c>
      <c r="P66" s="43" t="s">
        <v>88</v>
      </c>
      <c r="Q66" s="44" t="s">
        <v>88</v>
      </c>
      <c r="R66" s="40" t="s">
        <v>88</v>
      </c>
      <c r="S66" s="40" t="s">
        <v>88</v>
      </c>
      <c r="T66" s="40" t="s">
        <v>88</v>
      </c>
      <c r="U66" s="11" t="s">
        <v>88</v>
      </c>
      <c r="V66" s="7" t="s">
        <v>77</v>
      </c>
      <c r="W66" s="8" t="s">
        <v>88</v>
      </c>
      <c r="X66" s="8" t="s">
        <v>88</v>
      </c>
      <c r="Y66" s="10" t="s">
        <v>88</v>
      </c>
    </row>
    <row r="67" spans="1:25" x14ac:dyDescent="0.3">
      <c r="A67" s="22" t="s">
        <v>19</v>
      </c>
      <c r="B67" s="23" t="s">
        <v>23</v>
      </c>
      <c r="C67" s="24" t="s">
        <v>51</v>
      </c>
      <c r="D67" s="25">
        <v>4</v>
      </c>
      <c r="E67" s="26">
        <v>21</v>
      </c>
      <c r="F67" s="26">
        <v>4</v>
      </c>
      <c r="G67" s="5">
        <f t="shared" si="0"/>
        <v>5.25</v>
      </c>
      <c r="H67" s="20">
        <v>5</v>
      </c>
      <c r="I67" s="21">
        <v>2</v>
      </c>
      <c r="J67" s="39" t="s">
        <v>82</v>
      </c>
      <c r="K67" s="40" t="s">
        <v>101</v>
      </c>
      <c r="L67" s="34">
        <v>4</v>
      </c>
      <c r="M67" s="32">
        <v>4.2300000000000004</v>
      </c>
      <c r="N67" s="8">
        <v>0.19</v>
      </c>
      <c r="O67" s="33">
        <v>4.1900000000000004</v>
      </c>
      <c r="P67" s="43">
        <v>4.3099999999999996</v>
      </c>
      <c r="Q67" s="44">
        <v>0.27</v>
      </c>
      <c r="R67" s="40">
        <v>4.1900000000000004</v>
      </c>
      <c r="S67" s="40">
        <v>4.1900000000000004</v>
      </c>
      <c r="T67" s="40">
        <v>4.2699999999999996</v>
      </c>
      <c r="U67" s="11">
        <v>947.13</v>
      </c>
      <c r="V67" s="7">
        <v>13.47</v>
      </c>
      <c r="W67" s="8">
        <v>952</v>
      </c>
      <c r="X67" s="8">
        <v>952</v>
      </c>
      <c r="Y67" s="10">
        <v>935.5</v>
      </c>
    </row>
    <row r="68" spans="1:25" x14ac:dyDescent="0.3">
      <c r="A68" s="22" t="s">
        <v>19</v>
      </c>
      <c r="B68" s="23" t="s">
        <v>28</v>
      </c>
      <c r="C68" s="24" t="s">
        <v>53</v>
      </c>
      <c r="D68" s="25">
        <v>2</v>
      </c>
      <c r="E68" s="26">
        <v>8</v>
      </c>
      <c r="F68" s="26">
        <v>2</v>
      </c>
      <c r="G68" s="5">
        <f t="shared" si="0"/>
        <v>4</v>
      </c>
      <c r="H68" s="20" t="s">
        <v>113</v>
      </c>
      <c r="I68" s="21" t="s">
        <v>113</v>
      </c>
      <c r="J68" s="39" t="s">
        <v>82</v>
      </c>
      <c r="K68" s="40" t="s">
        <v>101</v>
      </c>
      <c r="L68" s="34">
        <v>2</v>
      </c>
      <c r="M68" s="32">
        <v>5.16</v>
      </c>
      <c r="N68" s="8" t="s">
        <v>108</v>
      </c>
      <c r="O68" s="33" t="s">
        <v>108</v>
      </c>
      <c r="P68" s="43">
        <v>5.16</v>
      </c>
      <c r="Q68" s="44" t="s">
        <v>111</v>
      </c>
      <c r="R68" s="44" t="s">
        <v>111</v>
      </c>
      <c r="S68" s="44" t="s">
        <v>111</v>
      </c>
      <c r="T68" s="40" t="s">
        <v>108</v>
      </c>
      <c r="U68" s="11">
        <v>938.5</v>
      </c>
      <c r="V68" s="7" t="s">
        <v>108</v>
      </c>
      <c r="W68" s="8" t="s">
        <v>108</v>
      </c>
      <c r="X68" s="8" t="s">
        <v>108</v>
      </c>
      <c r="Y68" s="10" t="s">
        <v>108</v>
      </c>
    </row>
    <row r="69" spans="1:25" x14ac:dyDescent="0.3">
      <c r="A69" s="22" t="s">
        <v>19</v>
      </c>
      <c r="B69" s="23" t="s">
        <v>40</v>
      </c>
      <c r="C69" s="24" t="s">
        <v>68</v>
      </c>
      <c r="D69" s="25">
        <v>1</v>
      </c>
      <c r="E69" s="26">
        <v>5</v>
      </c>
      <c r="F69" s="26">
        <v>1</v>
      </c>
      <c r="G69" s="5">
        <f t="shared" si="0"/>
        <v>5</v>
      </c>
      <c r="H69" s="20" t="s">
        <v>113</v>
      </c>
      <c r="I69" s="21" t="s">
        <v>113</v>
      </c>
      <c r="J69" s="39" t="s">
        <v>82</v>
      </c>
      <c r="K69" s="40" t="s">
        <v>101</v>
      </c>
      <c r="L69" s="34">
        <v>1</v>
      </c>
      <c r="M69" s="32" t="s">
        <v>88</v>
      </c>
      <c r="N69" s="8" t="s">
        <v>88</v>
      </c>
      <c r="O69" s="33" t="s">
        <v>88</v>
      </c>
      <c r="P69" s="43" t="s">
        <v>88</v>
      </c>
      <c r="Q69" s="44" t="s">
        <v>88</v>
      </c>
      <c r="R69" s="40" t="s">
        <v>88</v>
      </c>
      <c r="S69" s="40" t="s">
        <v>88</v>
      </c>
      <c r="T69" s="40" t="s">
        <v>88</v>
      </c>
      <c r="U69" s="11" t="s">
        <v>88</v>
      </c>
      <c r="V69" s="7" t="s">
        <v>77</v>
      </c>
      <c r="W69" s="8" t="s">
        <v>88</v>
      </c>
      <c r="X69" s="8" t="s">
        <v>88</v>
      </c>
      <c r="Y69" s="10" t="s">
        <v>88</v>
      </c>
    </row>
    <row r="70" spans="1:25" x14ac:dyDescent="0.3">
      <c r="A70" s="22" t="s">
        <v>19</v>
      </c>
      <c r="B70" s="23" t="s">
        <v>42</v>
      </c>
      <c r="C70" s="24" t="s">
        <v>69</v>
      </c>
      <c r="D70" s="25">
        <v>1</v>
      </c>
      <c r="E70" s="26">
        <v>7</v>
      </c>
      <c r="F70" s="26">
        <v>1</v>
      </c>
      <c r="G70" s="5">
        <f t="shared" si="0"/>
        <v>7</v>
      </c>
      <c r="H70" s="20">
        <v>1</v>
      </c>
      <c r="I70" s="21">
        <v>1</v>
      </c>
      <c r="J70" s="39" t="s">
        <v>82</v>
      </c>
      <c r="K70" s="40" t="s">
        <v>101</v>
      </c>
      <c r="L70" s="34">
        <v>1</v>
      </c>
      <c r="M70" s="32" t="s">
        <v>88</v>
      </c>
      <c r="N70" s="8" t="s">
        <v>88</v>
      </c>
      <c r="O70" s="33" t="s">
        <v>88</v>
      </c>
      <c r="P70" s="43" t="s">
        <v>88</v>
      </c>
      <c r="Q70" s="44" t="s">
        <v>88</v>
      </c>
      <c r="R70" s="40" t="s">
        <v>88</v>
      </c>
      <c r="S70" s="40" t="s">
        <v>88</v>
      </c>
      <c r="T70" s="40" t="s">
        <v>88</v>
      </c>
      <c r="U70" s="11" t="s">
        <v>88</v>
      </c>
      <c r="V70" s="7" t="s">
        <v>77</v>
      </c>
      <c r="W70" s="8" t="s">
        <v>88</v>
      </c>
      <c r="X70" s="8" t="s">
        <v>88</v>
      </c>
      <c r="Y70" s="10" t="s">
        <v>88</v>
      </c>
    </row>
    <row r="71" spans="1:25" x14ac:dyDescent="0.3">
      <c r="A71" s="22" t="s">
        <v>19</v>
      </c>
      <c r="B71" s="23" t="s">
        <v>46</v>
      </c>
      <c r="C71" s="24" t="s">
        <v>73</v>
      </c>
      <c r="D71" s="25">
        <v>2</v>
      </c>
      <c r="E71" s="26">
        <v>6</v>
      </c>
      <c r="F71" s="26">
        <v>2</v>
      </c>
      <c r="G71" s="5">
        <f t="shared" si="0"/>
        <v>3</v>
      </c>
      <c r="H71" s="20" t="s">
        <v>113</v>
      </c>
      <c r="I71" s="21" t="s">
        <v>113</v>
      </c>
      <c r="J71" s="39" t="s">
        <v>82</v>
      </c>
      <c r="K71" s="40" t="s">
        <v>101</v>
      </c>
      <c r="L71" s="34">
        <v>2</v>
      </c>
      <c r="M71" s="32">
        <v>5.36</v>
      </c>
      <c r="N71" s="8" t="s">
        <v>108</v>
      </c>
      <c r="O71" s="33" t="s">
        <v>108</v>
      </c>
      <c r="P71" s="43">
        <v>5.36</v>
      </c>
      <c r="Q71" s="44" t="s">
        <v>111</v>
      </c>
      <c r="R71" s="44" t="s">
        <v>111</v>
      </c>
      <c r="S71" s="44" t="s">
        <v>111</v>
      </c>
      <c r="T71" s="40" t="s">
        <v>108</v>
      </c>
      <c r="U71" s="11">
        <v>920.5</v>
      </c>
      <c r="V71" s="7" t="s">
        <v>108</v>
      </c>
      <c r="W71" s="8" t="s">
        <v>108</v>
      </c>
      <c r="X71" s="8" t="s">
        <v>108</v>
      </c>
      <c r="Y71" s="10" t="s">
        <v>108</v>
      </c>
    </row>
    <row r="72" spans="1:25" x14ac:dyDescent="0.3">
      <c r="A72" s="22" t="s">
        <v>97</v>
      </c>
      <c r="B72" s="23" t="s">
        <v>25</v>
      </c>
      <c r="C72" s="24" t="s">
        <v>52</v>
      </c>
      <c r="D72" s="25">
        <v>5</v>
      </c>
      <c r="E72" s="26">
        <v>58</v>
      </c>
      <c r="F72" s="26">
        <v>5</v>
      </c>
      <c r="G72" s="5">
        <f t="shared" si="0"/>
        <v>11.6</v>
      </c>
      <c r="H72" s="20">
        <v>3</v>
      </c>
      <c r="I72" s="21">
        <v>2</v>
      </c>
      <c r="J72" s="39" t="s">
        <v>82</v>
      </c>
      <c r="K72" s="40" t="s">
        <v>101</v>
      </c>
      <c r="L72" s="34">
        <v>5</v>
      </c>
      <c r="M72" s="32">
        <v>3.2</v>
      </c>
      <c r="N72" s="8">
        <v>0.38</v>
      </c>
      <c r="O72" s="33">
        <v>3.56</v>
      </c>
      <c r="P72" s="43">
        <v>3.3</v>
      </c>
      <c r="Q72" s="44">
        <v>0.42</v>
      </c>
      <c r="R72" s="40">
        <v>3.19</v>
      </c>
      <c r="S72" s="40">
        <v>3.23</v>
      </c>
      <c r="T72" s="40">
        <v>3.63</v>
      </c>
      <c r="U72" s="11">
        <v>963.85</v>
      </c>
      <c r="V72" s="7">
        <v>9.68</v>
      </c>
      <c r="W72" s="8">
        <v>967</v>
      </c>
      <c r="X72" s="8">
        <v>963.25</v>
      </c>
      <c r="Y72" s="10">
        <v>961</v>
      </c>
    </row>
    <row r="73" spans="1:25" x14ac:dyDescent="0.3">
      <c r="A73" s="22" t="s">
        <v>97</v>
      </c>
      <c r="B73" s="23" t="s">
        <v>14</v>
      </c>
      <c r="C73" s="24" t="s">
        <v>15</v>
      </c>
      <c r="D73" s="25">
        <v>29</v>
      </c>
      <c r="E73" s="26">
        <v>255</v>
      </c>
      <c r="F73" s="26">
        <v>29</v>
      </c>
      <c r="G73" s="5">
        <f t="shared" si="0"/>
        <v>8.7931034482758612</v>
      </c>
      <c r="H73" s="20">
        <v>35</v>
      </c>
      <c r="I73" s="21">
        <v>19</v>
      </c>
      <c r="J73" s="39" t="s">
        <v>82</v>
      </c>
      <c r="K73" s="40" t="s">
        <v>101</v>
      </c>
      <c r="L73" s="34">
        <v>29</v>
      </c>
      <c r="M73" s="32">
        <v>3.54</v>
      </c>
      <c r="N73" s="8">
        <v>0.31</v>
      </c>
      <c r="O73" s="33">
        <v>3.92</v>
      </c>
      <c r="P73" s="43">
        <v>3.96</v>
      </c>
      <c r="Q73" s="44">
        <v>0.38</v>
      </c>
      <c r="R73" s="40">
        <v>3.92</v>
      </c>
      <c r="S73" s="40">
        <v>4.1399999999999997</v>
      </c>
      <c r="T73" s="40">
        <v>4.22</v>
      </c>
      <c r="U73" s="11">
        <v>953.37</v>
      </c>
      <c r="V73" s="7">
        <v>7.39</v>
      </c>
      <c r="W73" s="8">
        <v>950.46</v>
      </c>
      <c r="X73" s="8">
        <v>948.76</v>
      </c>
      <c r="Y73" s="10">
        <v>947.01</v>
      </c>
    </row>
    <row r="74" spans="1:25" x14ac:dyDescent="0.3">
      <c r="A74" s="22" t="s">
        <v>97</v>
      </c>
      <c r="B74" s="23" t="s">
        <v>14</v>
      </c>
      <c r="C74" s="24" t="s">
        <v>18</v>
      </c>
      <c r="D74" s="25">
        <v>5</v>
      </c>
      <c r="E74" s="26">
        <v>34</v>
      </c>
      <c r="F74" s="26">
        <v>5</v>
      </c>
      <c r="G74" s="5">
        <f t="shared" si="0"/>
        <v>6.8</v>
      </c>
      <c r="H74" s="20">
        <v>3</v>
      </c>
      <c r="I74" s="21">
        <v>2</v>
      </c>
      <c r="J74" s="39" t="s">
        <v>82</v>
      </c>
      <c r="K74" s="40" t="s">
        <v>101</v>
      </c>
      <c r="L74" s="34">
        <v>5</v>
      </c>
      <c r="M74" s="32">
        <v>3.61</v>
      </c>
      <c r="N74" s="8">
        <v>0.24</v>
      </c>
      <c r="O74" s="33">
        <v>3.8</v>
      </c>
      <c r="P74" s="43">
        <v>3.79</v>
      </c>
      <c r="Q74" s="44">
        <v>0.17</v>
      </c>
      <c r="R74" s="40">
        <v>3.65</v>
      </c>
      <c r="S74" s="40">
        <v>3.8</v>
      </c>
      <c r="T74" s="40">
        <v>3.9</v>
      </c>
      <c r="U74" s="11">
        <v>955.3</v>
      </c>
      <c r="V74" s="7">
        <v>5.14</v>
      </c>
      <c r="W74" s="8">
        <v>958</v>
      </c>
      <c r="X74" s="8">
        <v>956.5</v>
      </c>
      <c r="Y74" s="10">
        <v>952</v>
      </c>
    </row>
    <row r="75" spans="1:25" x14ac:dyDescent="0.3">
      <c r="A75" s="22" t="s">
        <v>97</v>
      </c>
      <c r="B75" s="23" t="s">
        <v>17</v>
      </c>
      <c r="C75" s="24" t="s">
        <v>26</v>
      </c>
      <c r="D75" s="25">
        <v>20</v>
      </c>
      <c r="E75" s="26">
        <v>138</v>
      </c>
      <c r="F75" s="26">
        <v>20</v>
      </c>
      <c r="G75" s="5">
        <f t="shared" si="0"/>
        <v>6.9</v>
      </c>
      <c r="H75" s="20">
        <v>12</v>
      </c>
      <c r="I75" s="21">
        <v>10</v>
      </c>
      <c r="J75" s="39" t="s">
        <v>82</v>
      </c>
      <c r="K75" s="40" t="s">
        <v>101</v>
      </c>
      <c r="L75" s="34">
        <v>20</v>
      </c>
      <c r="M75" s="32">
        <v>3.69</v>
      </c>
      <c r="N75" s="8">
        <v>0.48</v>
      </c>
      <c r="O75" s="33">
        <v>4.0199999999999996</v>
      </c>
      <c r="P75" s="43">
        <v>4.05</v>
      </c>
      <c r="Q75" s="44">
        <v>0.41</v>
      </c>
      <c r="R75" s="40">
        <v>4.0199999999999996</v>
      </c>
      <c r="S75" s="40">
        <v>4.24</v>
      </c>
      <c r="T75" s="40">
        <v>4.5</v>
      </c>
      <c r="U75" s="11">
        <v>965.02</v>
      </c>
      <c r="V75" s="7">
        <v>11.59</v>
      </c>
      <c r="W75" s="8">
        <v>966.37</v>
      </c>
      <c r="X75" s="8">
        <v>953.95</v>
      </c>
      <c r="Y75" s="10">
        <v>952.53</v>
      </c>
    </row>
    <row r="76" spans="1:25" x14ac:dyDescent="0.3">
      <c r="A76" s="22" t="s">
        <v>97</v>
      </c>
      <c r="B76" s="23" t="s">
        <v>17</v>
      </c>
      <c r="C76" s="24" t="s">
        <v>35</v>
      </c>
      <c r="D76" s="25">
        <v>1</v>
      </c>
      <c r="E76" s="26">
        <v>12</v>
      </c>
      <c r="F76" s="26">
        <v>1</v>
      </c>
      <c r="G76" s="5">
        <f t="shared" si="0"/>
        <v>12</v>
      </c>
      <c r="H76" s="20" t="s">
        <v>113</v>
      </c>
      <c r="I76" s="21" t="s">
        <v>113</v>
      </c>
      <c r="J76" s="39" t="s">
        <v>82</v>
      </c>
      <c r="K76" s="40" t="s">
        <v>101</v>
      </c>
      <c r="L76" s="34">
        <v>1</v>
      </c>
      <c r="M76" s="32" t="s">
        <v>88</v>
      </c>
      <c r="N76" s="8" t="s">
        <v>88</v>
      </c>
      <c r="O76" s="33" t="s">
        <v>88</v>
      </c>
      <c r="P76" s="43" t="s">
        <v>88</v>
      </c>
      <c r="Q76" s="44" t="s">
        <v>88</v>
      </c>
      <c r="R76" s="40" t="s">
        <v>88</v>
      </c>
      <c r="S76" s="40" t="s">
        <v>88</v>
      </c>
      <c r="T76" s="40" t="s">
        <v>88</v>
      </c>
      <c r="U76" s="11" t="s">
        <v>88</v>
      </c>
      <c r="V76" s="7" t="s">
        <v>77</v>
      </c>
      <c r="W76" s="8" t="s">
        <v>88</v>
      </c>
      <c r="X76" s="8" t="s">
        <v>88</v>
      </c>
      <c r="Y76" s="10" t="s">
        <v>88</v>
      </c>
    </row>
    <row r="77" spans="1:25" x14ac:dyDescent="0.3">
      <c r="A77" s="22" t="s">
        <v>97</v>
      </c>
      <c r="B77" s="23" t="s">
        <v>20</v>
      </c>
      <c r="C77" s="24" t="s">
        <v>36</v>
      </c>
      <c r="D77" s="25">
        <v>1</v>
      </c>
      <c r="E77" s="26">
        <v>8</v>
      </c>
      <c r="F77" s="26">
        <v>1</v>
      </c>
      <c r="G77" s="5">
        <f t="shared" si="0"/>
        <v>8</v>
      </c>
      <c r="H77" s="20" t="s">
        <v>113</v>
      </c>
      <c r="I77" s="21" t="s">
        <v>113</v>
      </c>
      <c r="J77" s="39" t="s">
        <v>82</v>
      </c>
      <c r="K77" s="40" t="s">
        <v>101</v>
      </c>
      <c r="L77" s="34">
        <v>1</v>
      </c>
      <c r="M77" s="32" t="s">
        <v>88</v>
      </c>
      <c r="N77" s="8" t="s">
        <v>88</v>
      </c>
      <c r="O77" s="33" t="s">
        <v>88</v>
      </c>
      <c r="P77" s="43" t="s">
        <v>88</v>
      </c>
      <c r="Q77" s="44" t="s">
        <v>88</v>
      </c>
      <c r="R77" s="40" t="s">
        <v>88</v>
      </c>
      <c r="S77" s="40" t="s">
        <v>88</v>
      </c>
      <c r="T77" s="40" t="s">
        <v>88</v>
      </c>
      <c r="U77" s="11" t="s">
        <v>88</v>
      </c>
      <c r="V77" s="7" t="s">
        <v>77</v>
      </c>
      <c r="W77" s="8" t="s">
        <v>88</v>
      </c>
      <c r="X77" s="8" t="s">
        <v>88</v>
      </c>
      <c r="Y77" s="10" t="s">
        <v>88</v>
      </c>
    </row>
    <row r="78" spans="1:25" x14ac:dyDescent="0.3">
      <c r="A78" s="22" t="s">
        <v>97</v>
      </c>
      <c r="B78" s="23" t="s">
        <v>20</v>
      </c>
      <c r="C78" s="24" t="s">
        <v>39</v>
      </c>
      <c r="D78" s="25">
        <v>2</v>
      </c>
      <c r="E78" s="26">
        <v>14</v>
      </c>
      <c r="F78" s="26">
        <v>2</v>
      </c>
      <c r="G78" s="5">
        <f t="shared" si="0"/>
        <v>7</v>
      </c>
      <c r="H78" s="20">
        <v>1</v>
      </c>
      <c r="I78" s="21">
        <v>1</v>
      </c>
      <c r="J78" s="39" t="s">
        <v>82</v>
      </c>
      <c r="K78" s="40" t="s">
        <v>101</v>
      </c>
      <c r="L78" s="34">
        <v>2</v>
      </c>
      <c r="M78" s="32">
        <v>3.52</v>
      </c>
      <c r="N78" s="8" t="s">
        <v>108</v>
      </c>
      <c r="O78" s="33" t="s">
        <v>108</v>
      </c>
      <c r="P78" s="43">
        <v>3.58</v>
      </c>
      <c r="Q78" s="44" t="s">
        <v>111</v>
      </c>
      <c r="R78" s="44" t="s">
        <v>111</v>
      </c>
      <c r="S78" s="44" t="s">
        <v>111</v>
      </c>
      <c r="T78" s="40" t="s">
        <v>108</v>
      </c>
      <c r="U78" s="11">
        <v>977.13</v>
      </c>
      <c r="V78" s="7" t="s">
        <v>108</v>
      </c>
      <c r="W78" s="8" t="s">
        <v>108</v>
      </c>
      <c r="X78" s="8" t="s">
        <v>108</v>
      </c>
      <c r="Y78" s="10" t="s">
        <v>108</v>
      </c>
    </row>
    <row r="79" spans="1:25" x14ac:dyDescent="0.3">
      <c r="A79" s="22" t="s">
        <v>97</v>
      </c>
      <c r="B79" s="23" t="s">
        <v>20</v>
      </c>
      <c r="C79" s="24" t="s">
        <v>41</v>
      </c>
      <c r="D79" s="25">
        <v>1</v>
      </c>
      <c r="E79" s="26">
        <v>5</v>
      </c>
      <c r="F79" s="26">
        <v>1</v>
      </c>
      <c r="G79" s="5">
        <f t="shared" ref="G79:G142" si="1">E79/D79</f>
        <v>5</v>
      </c>
      <c r="H79" s="20" t="s">
        <v>113</v>
      </c>
      <c r="I79" s="21" t="s">
        <v>113</v>
      </c>
      <c r="J79" s="39" t="s">
        <v>82</v>
      </c>
      <c r="K79" s="40" t="s">
        <v>101</v>
      </c>
      <c r="L79" s="34">
        <v>1</v>
      </c>
      <c r="M79" s="32" t="s">
        <v>88</v>
      </c>
      <c r="N79" s="8" t="s">
        <v>88</v>
      </c>
      <c r="O79" s="33" t="s">
        <v>88</v>
      </c>
      <c r="P79" s="43" t="s">
        <v>88</v>
      </c>
      <c r="Q79" s="44" t="s">
        <v>88</v>
      </c>
      <c r="R79" s="40" t="s">
        <v>88</v>
      </c>
      <c r="S79" s="40" t="s">
        <v>88</v>
      </c>
      <c r="T79" s="40" t="s">
        <v>88</v>
      </c>
      <c r="U79" s="11" t="s">
        <v>88</v>
      </c>
      <c r="V79" s="7" t="s">
        <v>77</v>
      </c>
      <c r="W79" s="8" t="s">
        <v>88</v>
      </c>
      <c r="X79" s="8" t="s">
        <v>88</v>
      </c>
      <c r="Y79" s="10" t="s">
        <v>88</v>
      </c>
    </row>
    <row r="80" spans="1:25" x14ac:dyDescent="0.3">
      <c r="A80" s="22" t="s">
        <v>97</v>
      </c>
      <c r="B80" s="23" t="s">
        <v>20</v>
      </c>
      <c r="C80" s="24" t="s">
        <v>43</v>
      </c>
      <c r="D80" s="25">
        <v>1</v>
      </c>
      <c r="E80" s="26">
        <v>5</v>
      </c>
      <c r="F80" s="26">
        <v>1</v>
      </c>
      <c r="G80" s="5">
        <f t="shared" si="1"/>
        <v>5</v>
      </c>
      <c r="H80" s="20">
        <v>1</v>
      </c>
      <c r="I80" s="21">
        <v>1</v>
      </c>
      <c r="J80" s="39" t="s">
        <v>82</v>
      </c>
      <c r="K80" s="40" t="s">
        <v>101</v>
      </c>
      <c r="L80" s="34">
        <v>1</v>
      </c>
      <c r="M80" s="32" t="s">
        <v>88</v>
      </c>
      <c r="N80" s="8" t="s">
        <v>88</v>
      </c>
      <c r="O80" s="33" t="s">
        <v>88</v>
      </c>
      <c r="P80" s="43" t="s">
        <v>88</v>
      </c>
      <c r="Q80" s="44" t="s">
        <v>88</v>
      </c>
      <c r="R80" s="40" t="s">
        <v>88</v>
      </c>
      <c r="S80" s="40" t="s">
        <v>88</v>
      </c>
      <c r="T80" s="40" t="s">
        <v>88</v>
      </c>
      <c r="U80" s="11" t="s">
        <v>88</v>
      </c>
      <c r="V80" s="7" t="s">
        <v>77</v>
      </c>
      <c r="W80" s="8" t="s">
        <v>88</v>
      </c>
      <c r="X80" s="8" t="s">
        <v>88</v>
      </c>
      <c r="Y80" s="10" t="s">
        <v>88</v>
      </c>
    </row>
    <row r="81" spans="1:25" x14ac:dyDescent="0.3">
      <c r="A81" s="22" t="s">
        <v>97</v>
      </c>
      <c r="B81" s="23" t="s">
        <v>20</v>
      </c>
      <c r="C81" s="24" t="s">
        <v>45</v>
      </c>
      <c r="D81" s="25">
        <v>2</v>
      </c>
      <c r="E81" s="26">
        <v>21</v>
      </c>
      <c r="F81" s="26">
        <v>2</v>
      </c>
      <c r="G81" s="5">
        <f t="shared" si="1"/>
        <v>10.5</v>
      </c>
      <c r="H81" s="20">
        <v>5</v>
      </c>
      <c r="I81" s="21">
        <v>2</v>
      </c>
      <c r="J81" s="39" t="s">
        <v>82</v>
      </c>
      <c r="K81" s="40" t="s">
        <v>101</v>
      </c>
      <c r="L81" s="34">
        <v>2</v>
      </c>
      <c r="M81" s="32">
        <v>3.32</v>
      </c>
      <c r="N81" s="8" t="s">
        <v>108</v>
      </c>
      <c r="O81" s="33" t="s">
        <v>108</v>
      </c>
      <c r="P81" s="43">
        <v>3.73</v>
      </c>
      <c r="Q81" s="44" t="s">
        <v>111</v>
      </c>
      <c r="R81" s="44" t="s">
        <v>111</v>
      </c>
      <c r="S81" s="44" t="s">
        <v>111</v>
      </c>
      <c r="T81" s="40" t="s">
        <v>108</v>
      </c>
      <c r="U81" s="11">
        <v>943</v>
      </c>
      <c r="V81" s="7" t="s">
        <v>108</v>
      </c>
      <c r="W81" s="8" t="s">
        <v>108</v>
      </c>
      <c r="X81" s="8" t="s">
        <v>108</v>
      </c>
      <c r="Y81" s="10" t="s">
        <v>108</v>
      </c>
    </row>
    <row r="82" spans="1:25" x14ac:dyDescent="0.3">
      <c r="A82" s="22" t="s">
        <v>97</v>
      </c>
      <c r="B82" s="23" t="s">
        <v>20</v>
      </c>
      <c r="C82" s="24" t="s">
        <v>47</v>
      </c>
      <c r="D82" s="25">
        <v>4</v>
      </c>
      <c r="E82" s="26">
        <v>19</v>
      </c>
      <c r="F82" s="26">
        <v>3</v>
      </c>
      <c r="G82" s="5">
        <f t="shared" si="1"/>
        <v>4.75</v>
      </c>
      <c r="H82" s="20">
        <v>3</v>
      </c>
      <c r="I82" s="21">
        <v>2</v>
      </c>
      <c r="J82" s="39" t="s">
        <v>82</v>
      </c>
      <c r="K82" s="40" t="s">
        <v>101</v>
      </c>
      <c r="L82" s="34">
        <v>4</v>
      </c>
      <c r="M82" s="32">
        <v>3.16</v>
      </c>
      <c r="N82" s="8">
        <v>0.35</v>
      </c>
      <c r="O82" s="33">
        <v>3.32</v>
      </c>
      <c r="P82" s="43">
        <v>3.59</v>
      </c>
      <c r="Q82" s="44">
        <v>0.44</v>
      </c>
      <c r="R82" s="40" t="s">
        <v>112</v>
      </c>
      <c r="S82" s="40" t="s">
        <v>109</v>
      </c>
      <c r="T82" s="40" t="s">
        <v>109</v>
      </c>
      <c r="U82" s="11">
        <v>948.25</v>
      </c>
      <c r="V82" s="7">
        <v>4.62</v>
      </c>
      <c r="W82" s="8" t="s">
        <v>109</v>
      </c>
      <c r="X82" s="8" t="s">
        <v>109</v>
      </c>
      <c r="Y82" s="10" t="s">
        <v>109</v>
      </c>
    </row>
    <row r="83" spans="1:25" x14ac:dyDescent="0.3">
      <c r="A83" s="22" t="s">
        <v>97</v>
      </c>
      <c r="B83" s="23" t="s">
        <v>20</v>
      </c>
      <c r="C83" s="24" t="s">
        <v>49</v>
      </c>
      <c r="D83" s="25">
        <v>1</v>
      </c>
      <c r="E83" s="26">
        <v>9</v>
      </c>
      <c r="F83" s="26">
        <v>1</v>
      </c>
      <c r="G83" s="5">
        <f t="shared" si="1"/>
        <v>9</v>
      </c>
      <c r="H83" s="20">
        <v>3</v>
      </c>
      <c r="I83" s="21">
        <v>1</v>
      </c>
      <c r="J83" s="39" t="s">
        <v>82</v>
      </c>
      <c r="K83" s="40" t="s">
        <v>101</v>
      </c>
      <c r="L83" s="34">
        <v>1</v>
      </c>
      <c r="M83" s="32" t="s">
        <v>88</v>
      </c>
      <c r="N83" s="8" t="s">
        <v>88</v>
      </c>
      <c r="O83" s="33" t="s">
        <v>88</v>
      </c>
      <c r="P83" s="43" t="s">
        <v>88</v>
      </c>
      <c r="Q83" s="44" t="s">
        <v>88</v>
      </c>
      <c r="R83" s="40" t="s">
        <v>88</v>
      </c>
      <c r="S83" s="40" t="s">
        <v>88</v>
      </c>
      <c r="T83" s="40" t="s">
        <v>88</v>
      </c>
      <c r="U83" s="11" t="s">
        <v>88</v>
      </c>
      <c r="V83" s="7" t="s">
        <v>77</v>
      </c>
      <c r="W83" s="8" t="s">
        <v>88</v>
      </c>
      <c r="X83" s="8" t="s">
        <v>88</v>
      </c>
      <c r="Y83" s="10" t="s">
        <v>88</v>
      </c>
    </row>
    <row r="84" spans="1:25" x14ac:dyDescent="0.3">
      <c r="A84" s="22" t="s">
        <v>97</v>
      </c>
      <c r="B84" s="23" t="s">
        <v>20</v>
      </c>
      <c r="C84" s="24" t="s">
        <v>50</v>
      </c>
      <c r="D84" s="25">
        <v>2</v>
      </c>
      <c r="E84" s="26">
        <v>21</v>
      </c>
      <c r="F84" s="26">
        <v>2</v>
      </c>
      <c r="G84" s="5">
        <f t="shared" si="1"/>
        <v>10.5</v>
      </c>
      <c r="H84" s="20">
        <v>1</v>
      </c>
      <c r="I84" s="21">
        <v>1</v>
      </c>
      <c r="J84" s="39" t="s">
        <v>82</v>
      </c>
      <c r="K84" s="40" t="s">
        <v>101</v>
      </c>
      <c r="L84" s="34">
        <v>2</v>
      </c>
      <c r="M84" s="32">
        <v>3.17</v>
      </c>
      <c r="N84" s="8" t="s">
        <v>108</v>
      </c>
      <c r="O84" s="33" t="s">
        <v>108</v>
      </c>
      <c r="P84" s="43">
        <v>3.22</v>
      </c>
      <c r="Q84" s="44" t="s">
        <v>111</v>
      </c>
      <c r="R84" s="44" t="s">
        <v>111</v>
      </c>
      <c r="S84" s="44" t="s">
        <v>111</v>
      </c>
      <c r="T84" s="40" t="s">
        <v>108</v>
      </c>
      <c r="U84" s="11">
        <v>975.25</v>
      </c>
      <c r="V84" s="7" t="s">
        <v>108</v>
      </c>
      <c r="W84" s="8" t="s">
        <v>108</v>
      </c>
      <c r="X84" s="8" t="s">
        <v>108</v>
      </c>
      <c r="Y84" s="10" t="s">
        <v>108</v>
      </c>
    </row>
    <row r="85" spans="1:25" x14ac:dyDescent="0.3">
      <c r="A85" s="22" t="s">
        <v>97</v>
      </c>
      <c r="B85" s="23" t="s">
        <v>23</v>
      </c>
      <c r="C85" s="24" t="s">
        <v>51</v>
      </c>
      <c r="D85" s="25">
        <v>9</v>
      </c>
      <c r="E85" s="26">
        <v>83</v>
      </c>
      <c r="F85" s="26">
        <v>9</v>
      </c>
      <c r="G85" s="5">
        <f t="shared" si="1"/>
        <v>9.2222222222222214</v>
      </c>
      <c r="H85" s="20">
        <v>6</v>
      </c>
      <c r="I85" s="21">
        <v>5</v>
      </c>
      <c r="J85" s="39" t="s">
        <v>82</v>
      </c>
      <c r="K85" s="40" t="s">
        <v>101</v>
      </c>
      <c r="L85" s="34">
        <v>9</v>
      </c>
      <c r="M85" s="32">
        <v>3.46</v>
      </c>
      <c r="N85" s="8">
        <v>0.26</v>
      </c>
      <c r="O85" s="33">
        <v>3.62</v>
      </c>
      <c r="P85" s="43">
        <v>3.69</v>
      </c>
      <c r="Q85" s="44">
        <v>0.17</v>
      </c>
      <c r="R85" s="40">
        <v>3.62</v>
      </c>
      <c r="S85" s="40">
        <v>3.7</v>
      </c>
      <c r="T85" s="40">
        <v>3.82</v>
      </c>
      <c r="U85" s="11">
        <v>957.33</v>
      </c>
      <c r="V85" s="7">
        <v>6.77</v>
      </c>
      <c r="W85" s="8">
        <v>958</v>
      </c>
      <c r="X85" s="8">
        <v>955</v>
      </c>
      <c r="Y85" s="10">
        <v>951.25</v>
      </c>
    </row>
    <row r="86" spans="1:25" x14ac:dyDescent="0.3">
      <c r="A86" s="22" t="s">
        <v>97</v>
      </c>
      <c r="B86" s="23" t="s">
        <v>28</v>
      </c>
      <c r="C86" s="24" t="s">
        <v>53</v>
      </c>
      <c r="D86" s="25">
        <v>4</v>
      </c>
      <c r="E86" s="26">
        <v>22</v>
      </c>
      <c r="F86" s="26">
        <v>3</v>
      </c>
      <c r="G86" s="5">
        <f t="shared" si="1"/>
        <v>5.5</v>
      </c>
      <c r="H86" s="20">
        <v>6</v>
      </c>
      <c r="I86" s="21">
        <v>1</v>
      </c>
      <c r="J86" s="39" t="s">
        <v>82</v>
      </c>
      <c r="K86" s="40" t="s">
        <v>101</v>
      </c>
      <c r="L86" s="34">
        <v>4</v>
      </c>
      <c r="M86" s="32">
        <v>4.2</v>
      </c>
      <c r="N86" s="8">
        <v>0.26</v>
      </c>
      <c r="O86" s="33">
        <v>4.26</v>
      </c>
      <c r="P86" s="43">
        <v>4.2699999999999996</v>
      </c>
      <c r="Q86" s="44">
        <v>0.27</v>
      </c>
      <c r="R86" s="40" t="s">
        <v>112</v>
      </c>
      <c r="S86" s="40" t="s">
        <v>109</v>
      </c>
      <c r="T86" s="40" t="s">
        <v>109</v>
      </c>
      <c r="U86" s="11">
        <v>960</v>
      </c>
      <c r="V86" s="7">
        <v>9.57</v>
      </c>
      <c r="W86" s="8" t="s">
        <v>109</v>
      </c>
      <c r="X86" s="8" t="s">
        <v>109</v>
      </c>
      <c r="Y86" s="10" t="s">
        <v>109</v>
      </c>
    </row>
    <row r="87" spans="1:25" x14ac:dyDescent="0.3">
      <c r="A87" s="22" t="s">
        <v>97</v>
      </c>
      <c r="B87" s="23" t="s">
        <v>31</v>
      </c>
      <c r="C87" s="24" t="s">
        <v>54</v>
      </c>
      <c r="D87" s="25">
        <v>1</v>
      </c>
      <c r="E87" s="26">
        <v>15</v>
      </c>
      <c r="F87" s="26">
        <v>1</v>
      </c>
      <c r="G87" s="5">
        <f t="shared" si="1"/>
        <v>15</v>
      </c>
      <c r="H87" s="20" t="s">
        <v>113</v>
      </c>
      <c r="I87" s="21" t="s">
        <v>113</v>
      </c>
      <c r="J87" s="39" t="s">
        <v>82</v>
      </c>
      <c r="K87" s="40" t="s">
        <v>101</v>
      </c>
      <c r="L87" s="34">
        <v>1</v>
      </c>
      <c r="M87" s="32" t="s">
        <v>88</v>
      </c>
      <c r="N87" s="8" t="s">
        <v>88</v>
      </c>
      <c r="O87" s="33" t="s">
        <v>88</v>
      </c>
      <c r="P87" s="43" t="s">
        <v>88</v>
      </c>
      <c r="Q87" s="44" t="s">
        <v>88</v>
      </c>
      <c r="R87" s="40" t="s">
        <v>88</v>
      </c>
      <c r="S87" s="40" t="s">
        <v>88</v>
      </c>
      <c r="T87" s="40" t="s">
        <v>88</v>
      </c>
      <c r="U87" s="11" t="s">
        <v>88</v>
      </c>
      <c r="V87" s="7" t="s">
        <v>77</v>
      </c>
      <c r="W87" s="8" t="s">
        <v>88</v>
      </c>
      <c r="X87" s="8" t="s">
        <v>88</v>
      </c>
      <c r="Y87" s="10" t="s">
        <v>88</v>
      </c>
    </row>
    <row r="88" spans="1:25" x14ac:dyDescent="0.3">
      <c r="A88" s="22" t="s">
        <v>97</v>
      </c>
      <c r="B88" s="23" t="s">
        <v>40</v>
      </c>
      <c r="C88" s="24" t="s">
        <v>57</v>
      </c>
      <c r="D88" s="25">
        <v>1</v>
      </c>
      <c r="E88" s="26">
        <v>7</v>
      </c>
      <c r="F88" s="26">
        <v>1</v>
      </c>
      <c r="G88" s="5">
        <f t="shared" si="1"/>
        <v>7</v>
      </c>
      <c r="H88" s="20">
        <v>1</v>
      </c>
      <c r="I88" s="21">
        <v>1</v>
      </c>
      <c r="J88" s="39" t="s">
        <v>82</v>
      </c>
      <c r="K88" s="40" t="s">
        <v>101</v>
      </c>
      <c r="L88" s="34">
        <v>1</v>
      </c>
      <c r="M88" s="32" t="s">
        <v>88</v>
      </c>
      <c r="N88" s="8" t="s">
        <v>88</v>
      </c>
      <c r="O88" s="33" t="s">
        <v>88</v>
      </c>
      <c r="P88" s="43" t="s">
        <v>88</v>
      </c>
      <c r="Q88" s="44" t="s">
        <v>88</v>
      </c>
      <c r="R88" s="40" t="s">
        <v>88</v>
      </c>
      <c r="S88" s="40" t="s">
        <v>88</v>
      </c>
      <c r="T88" s="40" t="s">
        <v>88</v>
      </c>
      <c r="U88" s="11" t="s">
        <v>88</v>
      </c>
      <c r="V88" s="7" t="s">
        <v>77</v>
      </c>
      <c r="W88" s="8" t="s">
        <v>88</v>
      </c>
      <c r="X88" s="8" t="s">
        <v>88</v>
      </c>
      <c r="Y88" s="10" t="s">
        <v>88</v>
      </c>
    </row>
    <row r="89" spans="1:25" x14ac:dyDescent="0.3">
      <c r="A89" s="22" t="s">
        <v>97</v>
      </c>
      <c r="B89" s="23" t="s">
        <v>40</v>
      </c>
      <c r="C89" s="24" t="s">
        <v>58</v>
      </c>
      <c r="D89" s="25">
        <v>2</v>
      </c>
      <c r="E89" s="26">
        <v>18</v>
      </c>
      <c r="F89" s="26">
        <v>2</v>
      </c>
      <c r="G89" s="5">
        <f t="shared" si="1"/>
        <v>9</v>
      </c>
      <c r="H89" s="20">
        <v>1</v>
      </c>
      <c r="I89" s="21">
        <v>1</v>
      </c>
      <c r="J89" s="39" t="s">
        <v>82</v>
      </c>
      <c r="K89" s="40" t="s">
        <v>101</v>
      </c>
      <c r="L89" s="34">
        <v>2</v>
      </c>
      <c r="M89" s="32">
        <v>3.18</v>
      </c>
      <c r="N89" s="8" t="s">
        <v>108</v>
      </c>
      <c r="O89" s="33" t="s">
        <v>108</v>
      </c>
      <c r="P89" s="43">
        <v>3.3</v>
      </c>
      <c r="Q89" s="44" t="s">
        <v>111</v>
      </c>
      <c r="R89" s="44" t="s">
        <v>111</v>
      </c>
      <c r="S89" s="44" t="s">
        <v>111</v>
      </c>
      <c r="T89" s="40" t="s">
        <v>108</v>
      </c>
      <c r="U89" s="11">
        <v>971.13</v>
      </c>
      <c r="V89" s="7" t="s">
        <v>108</v>
      </c>
      <c r="W89" s="8" t="s">
        <v>108</v>
      </c>
      <c r="X89" s="8" t="s">
        <v>108</v>
      </c>
      <c r="Y89" s="10" t="s">
        <v>108</v>
      </c>
    </row>
    <row r="90" spans="1:25" x14ac:dyDescent="0.3">
      <c r="A90" s="22" t="s">
        <v>97</v>
      </c>
      <c r="B90" s="23" t="s">
        <v>40</v>
      </c>
      <c r="C90" s="24" t="s">
        <v>59</v>
      </c>
      <c r="D90" s="25">
        <v>1</v>
      </c>
      <c r="E90" s="26">
        <v>6</v>
      </c>
      <c r="F90" s="26">
        <v>1</v>
      </c>
      <c r="G90" s="5">
        <f t="shared" si="1"/>
        <v>6</v>
      </c>
      <c r="H90" s="20" t="s">
        <v>113</v>
      </c>
      <c r="I90" s="21" t="s">
        <v>113</v>
      </c>
      <c r="J90" s="39" t="s">
        <v>82</v>
      </c>
      <c r="K90" s="40" t="s">
        <v>101</v>
      </c>
      <c r="L90" s="34">
        <v>1</v>
      </c>
      <c r="M90" s="32" t="s">
        <v>88</v>
      </c>
      <c r="N90" s="8" t="s">
        <v>88</v>
      </c>
      <c r="O90" s="33" t="s">
        <v>88</v>
      </c>
      <c r="P90" s="43" t="s">
        <v>88</v>
      </c>
      <c r="Q90" s="44" t="s">
        <v>88</v>
      </c>
      <c r="R90" s="40" t="s">
        <v>88</v>
      </c>
      <c r="S90" s="40" t="s">
        <v>88</v>
      </c>
      <c r="T90" s="40" t="s">
        <v>88</v>
      </c>
      <c r="U90" s="11" t="s">
        <v>88</v>
      </c>
      <c r="V90" s="7" t="s">
        <v>77</v>
      </c>
      <c r="W90" s="8" t="s">
        <v>88</v>
      </c>
      <c r="X90" s="8" t="s">
        <v>88</v>
      </c>
      <c r="Y90" s="10" t="s">
        <v>88</v>
      </c>
    </row>
    <row r="91" spans="1:25" x14ac:dyDescent="0.3">
      <c r="A91" s="22" t="s">
        <v>97</v>
      </c>
      <c r="B91" s="23" t="s">
        <v>40</v>
      </c>
      <c r="C91" s="24" t="s">
        <v>60</v>
      </c>
      <c r="D91" s="25">
        <v>2</v>
      </c>
      <c r="E91" s="26">
        <v>17</v>
      </c>
      <c r="F91" s="26">
        <v>2</v>
      </c>
      <c r="G91" s="5">
        <f t="shared" si="1"/>
        <v>8.5</v>
      </c>
      <c r="H91" s="20">
        <v>1</v>
      </c>
      <c r="I91" s="21">
        <v>1</v>
      </c>
      <c r="J91" s="39" t="s">
        <v>82</v>
      </c>
      <c r="K91" s="40" t="s">
        <v>101</v>
      </c>
      <c r="L91" s="34">
        <v>2</v>
      </c>
      <c r="M91" s="32">
        <v>3.1</v>
      </c>
      <c r="N91" s="8" t="s">
        <v>108</v>
      </c>
      <c r="O91" s="33" t="s">
        <v>108</v>
      </c>
      <c r="P91" s="43">
        <v>3.6</v>
      </c>
      <c r="Q91" s="44" t="s">
        <v>111</v>
      </c>
      <c r="R91" s="44" t="s">
        <v>111</v>
      </c>
      <c r="S91" s="44" t="s">
        <v>111</v>
      </c>
      <c r="T91" s="40" t="s">
        <v>108</v>
      </c>
      <c r="U91" s="11">
        <v>962.5</v>
      </c>
      <c r="V91" s="7" t="s">
        <v>108</v>
      </c>
      <c r="W91" s="8" t="s">
        <v>108</v>
      </c>
      <c r="X91" s="8" t="s">
        <v>108</v>
      </c>
      <c r="Y91" s="10" t="s">
        <v>108</v>
      </c>
    </row>
    <row r="92" spans="1:25" x14ac:dyDescent="0.3">
      <c r="A92" s="22" t="s">
        <v>97</v>
      </c>
      <c r="B92" s="23" t="s">
        <v>40</v>
      </c>
      <c r="C92" s="24" t="s">
        <v>61</v>
      </c>
      <c r="D92" s="25">
        <v>2</v>
      </c>
      <c r="E92" s="26">
        <v>15</v>
      </c>
      <c r="F92" s="26">
        <v>2</v>
      </c>
      <c r="G92" s="5">
        <f t="shared" si="1"/>
        <v>7.5</v>
      </c>
      <c r="H92" s="20">
        <v>3</v>
      </c>
      <c r="I92" s="21">
        <v>2</v>
      </c>
      <c r="J92" s="39" t="s">
        <v>82</v>
      </c>
      <c r="K92" s="40" t="s">
        <v>101</v>
      </c>
      <c r="L92" s="34">
        <v>2</v>
      </c>
      <c r="M92" s="32">
        <v>3.86</v>
      </c>
      <c r="N92" s="8" t="s">
        <v>108</v>
      </c>
      <c r="O92" s="33" t="s">
        <v>108</v>
      </c>
      <c r="P92" s="43">
        <v>4.09</v>
      </c>
      <c r="Q92" s="44" t="s">
        <v>111</v>
      </c>
      <c r="R92" s="44" t="s">
        <v>111</v>
      </c>
      <c r="S92" s="44" t="s">
        <v>111</v>
      </c>
      <c r="T92" s="40" t="s">
        <v>108</v>
      </c>
      <c r="U92" s="11">
        <v>957.25</v>
      </c>
      <c r="V92" s="7" t="s">
        <v>108</v>
      </c>
      <c r="W92" s="8" t="s">
        <v>108</v>
      </c>
      <c r="X92" s="8" t="s">
        <v>108</v>
      </c>
      <c r="Y92" s="10" t="s">
        <v>108</v>
      </c>
    </row>
    <row r="93" spans="1:25" x14ac:dyDescent="0.3">
      <c r="A93" s="22" t="s">
        <v>97</v>
      </c>
      <c r="B93" s="23" t="s">
        <v>40</v>
      </c>
      <c r="C93" s="24" t="s">
        <v>62</v>
      </c>
      <c r="D93" s="25">
        <v>1</v>
      </c>
      <c r="E93" s="26">
        <v>8</v>
      </c>
      <c r="F93" s="26">
        <v>1</v>
      </c>
      <c r="G93" s="5">
        <f t="shared" si="1"/>
        <v>8</v>
      </c>
      <c r="H93" s="20">
        <v>1</v>
      </c>
      <c r="I93" s="21">
        <v>1</v>
      </c>
      <c r="J93" s="39" t="s">
        <v>82</v>
      </c>
      <c r="K93" s="40" t="s">
        <v>101</v>
      </c>
      <c r="L93" s="34">
        <v>1</v>
      </c>
      <c r="M93" s="32" t="s">
        <v>88</v>
      </c>
      <c r="N93" s="8" t="s">
        <v>88</v>
      </c>
      <c r="O93" s="33" t="s">
        <v>88</v>
      </c>
      <c r="P93" s="43" t="s">
        <v>88</v>
      </c>
      <c r="Q93" s="44" t="s">
        <v>88</v>
      </c>
      <c r="R93" s="40" t="s">
        <v>88</v>
      </c>
      <c r="S93" s="40" t="s">
        <v>88</v>
      </c>
      <c r="T93" s="40" t="s">
        <v>88</v>
      </c>
      <c r="U93" s="11" t="s">
        <v>88</v>
      </c>
      <c r="V93" s="7" t="s">
        <v>77</v>
      </c>
      <c r="W93" s="8" t="s">
        <v>88</v>
      </c>
      <c r="X93" s="8" t="s">
        <v>88</v>
      </c>
      <c r="Y93" s="10" t="s">
        <v>88</v>
      </c>
    </row>
    <row r="94" spans="1:25" x14ac:dyDescent="0.3">
      <c r="A94" s="22" t="s">
        <v>97</v>
      </c>
      <c r="B94" s="23" t="s">
        <v>40</v>
      </c>
      <c r="C94" s="24" t="s">
        <v>63</v>
      </c>
      <c r="D94" s="25">
        <v>2</v>
      </c>
      <c r="E94" s="26">
        <v>13</v>
      </c>
      <c r="F94" s="26">
        <v>2</v>
      </c>
      <c r="G94" s="5">
        <f t="shared" si="1"/>
        <v>6.5</v>
      </c>
      <c r="H94" s="20">
        <v>1</v>
      </c>
      <c r="I94" s="21">
        <v>1</v>
      </c>
      <c r="J94" s="39" t="s">
        <v>82</v>
      </c>
      <c r="K94" s="40" t="s">
        <v>101</v>
      </c>
      <c r="L94" s="34">
        <v>2</v>
      </c>
      <c r="M94" s="32">
        <v>4.09</v>
      </c>
      <c r="N94" s="8" t="s">
        <v>108</v>
      </c>
      <c r="O94" s="33" t="s">
        <v>108</v>
      </c>
      <c r="P94" s="43">
        <v>4.25</v>
      </c>
      <c r="Q94" s="44" t="s">
        <v>111</v>
      </c>
      <c r="R94" s="44" t="s">
        <v>111</v>
      </c>
      <c r="S94" s="44" t="s">
        <v>111</v>
      </c>
      <c r="T94" s="40" t="s">
        <v>108</v>
      </c>
      <c r="U94" s="11">
        <v>959.5</v>
      </c>
      <c r="V94" s="7" t="s">
        <v>108</v>
      </c>
      <c r="W94" s="8" t="s">
        <v>108</v>
      </c>
      <c r="X94" s="8" t="s">
        <v>108</v>
      </c>
      <c r="Y94" s="10" t="s">
        <v>108</v>
      </c>
    </row>
    <row r="95" spans="1:25" x14ac:dyDescent="0.3">
      <c r="A95" s="22" t="s">
        <v>97</v>
      </c>
      <c r="B95" s="23" t="s">
        <v>40</v>
      </c>
      <c r="C95" s="24" t="s">
        <v>64</v>
      </c>
      <c r="D95" s="25">
        <v>1</v>
      </c>
      <c r="E95" s="26">
        <v>8</v>
      </c>
      <c r="F95" s="26">
        <v>1</v>
      </c>
      <c r="G95" s="5">
        <f t="shared" si="1"/>
        <v>8</v>
      </c>
      <c r="H95" s="20">
        <v>1</v>
      </c>
      <c r="I95" s="21">
        <v>1</v>
      </c>
      <c r="J95" s="39" t="s">
        <v>82</v>
      </c>
      <c r="K95" s="40" t="s">
        <v>101</v>
      </c>
      <c r="L95" s="34">
        <v>1</v>
      </c>
      <c r="M95" s="32" t="s">
        <v>88</v>
      </c>
      <c r="N95" s="8" t="s">
        <v>88</v>
      </c>
      <c r="O95" s="33" t="s">
        <v>88</v>
      </c>
      <c r="P95" s="43" t="s">
        <v>88</v>
      </c>
      <c r="Q95" s="44" t="s">
        <v>88</v>
      </c>
      <c r="R95" s="40" t="s">
        <v>88</v>
      </c>
      <c r="S95" s="40" t="s">
        <v>88</v>
      </c>
      <c r="T95" s="40" t="s">
        <v>88</v>
      </c>
      <c r="U95" s="11" t="s">
        <v>88</v>
      </c>
      <c r="V95" s="7" t="s">
        <v>77</v>
      </c>
      <c r="W95" s="8" t="s">
        <v>88</v>
      </c>
      <c r="X95" s="8" t="s">
        <v>88</v>
      </c>
      <c r="Y95" s="10" t="s">
        <v>88</v>
      </c>
    </row>
    <row r="96" spans="1:25" x14ac:dyDescent="0.3">
      <c r="A96" s="22" t="s">
        <v>97</v>
      </c>
      <c r="B96" s="23" t="s">
        <v>40</v>
      </c>
      <c r="C96" s="24" t="s">
        <v>65</v>
      </c>
      <c r="D96" s="25">
        <v>2</v>
      </c>
      <c r="E96" s="26">
        <v>15</v>
      </c>
      <c r="F96" s="26">
        <v>2</v>
      </c>
      <c r="G96" s="5">
        <f t="shared" si="1"/>
        <v>7.5</v>
      </c>
      <c r="H96" s="20" t="s">
        <v>113</v>
      </c>
      <c r="I96" s="21" t="s">
        <v>113</v>
      </c>
      <c r="J96" s="39" t="s">
        <v>82</v>
      </c>
      <c r="K96" s="40" t="s">
        <v>101</v>
      </c>
      <c r="L96" s="34">
        <v>2</v>
      </c>
      <c r="M96" s="32">
        <v>4.45</v>
      </c>
      <c r="N96" s="8" t="s">
        <v>108</v>
      </c>
      <c r="O96" s="33" t="s">
        <v>108</v>
      </c>
      <c r="P96" s="43">
        <v>4.45</v>
      </c>
      <c r="Q96" s="44" t="s">
        <v>111</v>
      </c>
      <c r="R96" s="44" t="s">
        <v>111</v>
      </c>
      <c r="S96" s="44" t="s">
        <v>111</v>
      </c>
      <c r="T96" s="40" t="s">
        <v>108</v>
      </c>
      <c r="U96" s="11">
        <v>964</v>
      </c>
      <c r="V96" s="7" t="s">
        <v>108</v>
      </c>
      <c r="W96" s="8" t="s">
        <v>108</v>
      </c>
      <c r="X96" s="8" t="s">
        <v>108</v>
      </c>
      <c r="Y96" s="10" t="s">
        <v>108</v>
      </c>
    </row>
    <row r="97" spans="1:25" x14ac:dyDescent="0.3">
      <c r="A97" s="22" t="s">
        <v>97</v>
      </c>
      <c r="B97" s="23" t="s">
        <v>40</v>
      </c>
      <c r="C97" s="24" t="s">
        <v>66</v>
      </c>
      <c r="D97" s="25">
        <v>2</v>
      </c>
      <c r="E97" s="26">
        <v>11</v>
      </c>
      <c r="F97" s="26">
        <v>2</v>
      </c>
      <c r="G97" s="5">
        <f t="shared" si="1"/>
        <v>5.5</v>
      </c>
      <c r="H97" s="20" t="s">
        <v>113</v>
      </c>
      <c r="I97" s="21" t="s">
        <v>113</v>
      </c>
      <c r="J97" s="39" t="s">
        <v>82</v>
      </c>
      <c r="K97" s="40" t="s">
        <v>101</v>
      </c>
      <c r="L97" s="34">
        <v>2</v>
      </c>
      <c r="M97" s="32">
        <v>3.89</v>
      </c>
      <c r="N97" s="8" t="s">
        <v>108</v>
      </c>
      <c r="O97" s="33" t="s">
        <v>108</v>
      </c>
      <c r="P97" s="43">
        <v>3.89</v>
      </c>
      <c r="Q97" s="44" t="s">
        <v>111</v>
      </c>
      <c r="R97" s="44" t="s">
        <v>111</v>
      </c>
      <c r="S97" s="44" t="s">
        <v>111</v>
      </c>
      <c r="T97" s="40" t="s">
        <v>108</v>
      </c>
      <c r="U97" s="11">
        <v>963.63</v>
      </c>
      <c r="V97" s="7" t="s">
        <v>108</v>
      </c>
      <c r="W97" s="8" t="s">
        <v>108</v>
      </c>
      <c r="X97" s="8" t="s">
        <v>108</v>
      </c>
      <c r="Y97" s="10" t="s">
        <v>108</v>
      </c>
    </row>
    <row r="98" spans="1:25" x14ac:dyDescent="0.3">
      <c r="A98" s="22" t="s">
        <v>97</v>
      </c>
      <c r="B98" s="23" t="s">
        <v>40</v>
      </c>
      <c r="C98" s="24" t="s">
        <v>67</v>
      </c>
      <c r="D98" s="25">
        <v>1</v>
      </c>
      <c r="E98" s="26">
        <v>6</v>
      </c>
      <c r="F98" s="26">
        <v>1</v>
      </c>
      <c r="G98" s="5">
        <f t="shared" si="1"/>
        <v>6</v>
      </c>
      <c r="H98" s="20" t="s">
        <v>113</v>
      </c>
      <c r="I98" s="21" t="s">
        <v>113</v>
      </c>
      <c r="J98" s="39" t="s">
        <v>82</v>
      </c>
      <c r="K98" s="40" t="s">
        <v>101</v>
      </c>
      <c r="L98" s="34">
        <v>1</v>
      </c>
      <c r="M98" s="32" t="s">
        <v>88</v>
      </c>
      <c r="N98" s="8" t="s">
        <v>88</v>
      </c>
      <c r="O98" s="33" t="s">
        <v>88</v>
      </c>
      <c r="P98" s="43" t="s">
        <v>88</v>
      </c>
      <c r="Q98" s="44" t="s">
        <v>88</v>
      </c>
      <c r="R98" s="40" t="s">
        <v>88</v>
      </c>
      <c r="S98" s="40" t="s">
        <v>88</v>
      </c>
      <c r="T98" s="40" t="s">
        <v>88</v>
      </c>
      <c r="U98" s="11" t="s">
        <v>88</v>
      </c>
      <c r="V98" s="7" t="s">
        <v>77</v>
      </c>
      <c r="W98" s="8" t="s">
        <v>88</v>
      </c>
      <c r="X98" s="8" t="s">
        <v>88</v>
      </c>
      <c r="Y98" s="10" t="s">
        <v>88</v>
      </c>
    </row>
    <row r="99" spans="1:25" x14ac:dyDescent="0.3">
      <c r="A99" s="22" t="s">
        <v>97</v>
      </c>
      <c r="B99" s="23" t="s">
        <v>40</v>
      </c>
      <c r="C99" s="24" t="s">
        <v>68</v>
      </c>
      <c r="D99" s="25">
        <v>1</v>
      </c>
      <c r="E99" s="26">
        <v>7</v>
      </c>
      <c r="F99" s="26">
        <v>1</v>
      </c>
      <c r="G99" s="5">
        <f t="shared" si="1"/>
        <v>7</v>
      </c>
      <c r="H99" s="20" t="s">
        <v>113</v>
      </c>
      <c r="I99" s="21" t="s">
        <v>113</v>
      </c>
      <c r="J99" s="39" t="s">
        <v>82</v>
      </c>
      <c r="K99" s="40" t="s">
        <v>101</v>
      </c>
      <c r="L99" s="34">
        <v>1</v>
      </c>
      <c r="M99" s="32" t="s">
        <v>88</v>
      </c>
      <c r="N99" s="8" t="s">
        <v>88</v>
      </c>
      <c r="O99" s="33" t="s">
        <v>88</v>
      </c>
      <c r="P99" s="43" t="s">
        <v>88</v>
      </c>
      <c r="Q99" s="44" t="s">
        <v>88</v>
      </c>
      <c r="R99" s="40" t="s">
        <v>88</v>
      </c>
      <c r="S99" s="40" t="s">
        <v>88</v>
      </c>
      <c r="T99" s="40" t="s">
        <v>88</v>
      </c>
      <c r="U99" s="11" t="s">
        <v>88</v>
      </c>
      <c r="V99" s="7" t="s">
        <v>77</v>
      </c>
      <c r="W99" s="8" t="s">
        <v>88</v>
      </c>
      <c r="X99" s="8" t="s">
        <v>88</v>
      </c>
      <c r="Y99" s="10" t="s">
        <v>88</v>
      </c>
    </row>
    <row r="100" spans="1:25" x14ac:dyDescent="0.3">
      <c r="A100" s="22" t="s">
        <v>97</v>
      </c>
      <c r="B100" s="23" t="s">
        <v>42</v>
      </c>
      <c r="C100" s="24" t="s">
        <v>69</v>
      </c>
      <c r="D100" s="25">
        <v>7</v>
      </c>
      <c r="E100" s="26">
        <v>66</v>
      </c>
      <c r="F100" s="26">
        <v>7</v>
      </c>
      <c r="G100" s="5">
        <f t="shared" si="1"/>
        <v>9.4285714285714288</v>
      </c>
      <c r="H100" s="20">
        <v>7</v>
      </c>
      <c r="I100" s="21">
        <v>5</v>
      </c>
      <c r="J100" s="39" t="s">
        <v>82</v>
      </c>
      <c r="K100" s="40" t="s">
        <v>101</v>
      </c>
      <c r="L100" s="34">
        <v>7</v>
      </c>
      <c r="M100" s="32">
        <v>3.7</v>
      </c>
      <c r="N100" s="8">
        <v>0.4</v>
      </c>
      <c r="O100" s="33">
        <v>3.76</v>
      </c>
      <c r="P100" s="43">
        <v>3.9</v>
      </c>
      <c r="Q100" s="44">
        <v>0.4</v>
      </c>
      <c r="R100" s="40">
        <v>3.82</v>
      </c>
      <c r="S100" s="40">
        <v>4.04</v>
      </c>
      <c r="T100" s="40">
        <v>4.05</v>
      </c>
      <c r="U100" s="11">
        <v>961.54</v>
      </c>
      <c r="V100" s="7">
        <v>11.78</v>
      </c>
      <c r="W100" s="8">
        <v>960.25</v>
      </c>
      <c r="X100" s="8">
        <v>958.75</v>
      </c>
      <c r="Y100" s="10">
        <v>956.5</v>
      </c>
    </row>
    <row r="101" spans="1:25" x14ac:dyDescent="0.3">
      <c r="A101" s="22" t="s">
        <v>97</v>
      </c>
      <c r="B101" s="23" t="s">
        <v>42</v>
      </c>
      <c r="C101" s="24" t="s">
        <v>70</v>
      </c>
      <c r="D101" s="25">
        <v>3</v>
      </c>
      <c r="E101" s="26">
        <v>15</v>
      </c>
      <c r="F101" s="26">
        <v>3</v>
      </c>
      <c r="G101" s="5">
        <f t="shared" si="1"/>
        <v>5</v>
      </c>
      <c r="H101" s="20" t="s">
        <v>113</v>
      </c>
      <c r="I101" s="21" t="s">
        <v>113</v>
      </c>
      <c r="J101" s="39" t="s">
        <v>82</v>
      </c>
      <c r="K101" s="40" t="s">
        <v>101</v>
      </c>
      <c r="L101" s="34">
        <v>3</v>
      </c>
      <c r="M101" s="32">
        <v>4.29</v>
      </c>
      <c r="N101" s="8">
        <v>0.35</v>
      </c>
      <c r="O101" s="33" t="s">
        <v>109</v>
      </c>
      <c r="P101" s="43">
        <v>4.29</v>
      </c>
      <c r="Q101" s="44">
        <v>0.35</v>
      </c>
      <c r="R101" s="40" t="s">
        <v>112</v>
      </c>
      <c r="S101" s="40" t="s">
        <v>109</v>
      </c>
      <c r="T101" s="40" t="s">
        <v>109</v>
      </c>
      <c r="U101" s="11">
        <v>963.5</v>
      </c>
      <c r="V101" s="7">
        <v>17.850000000000001</v>
      </c>
      <c r="W101" s="8" t="s">
        <v>109</v>
      </c>
      <c r="X101" s="8" t="s">
        <v>109</v>
      </c>
      <c r="Y101" s="10" t="s">
        <v>109</v>
      </c>
    </row>
    <row r="102" spans="1:25" x14ac:dyDescent="0.3">
      <c r="A102" s="22" t="s">
        <v>97</v>
      </c>
      <c r="B102" s="23" t="s">
        <v>42</v>
      </c>
      <c r="C102" s="24" t="s">
        <v>71</v>
      </c>
      <c r="D102" s="25">
        <v>1</v>
      </c>
      <c r="E102" s="26">
        <v>10</v>
      </c>
      <c r="F102" s="26">
        <v>1</v>
      </c>
      <c r="G102" s="5">
        <f t="shared" si="1"/>
        <v>10</v>
      </c>
      <c r="H102" s="20" t="s">
        <v>113</v>
      </c>
      <c r="I102" s="21" t="s">
        <v>113</v>
      </c>
      <c r="J102" s="39" t="s">
        <v>82</v>
      </c>
      <c r="K102" s="40" t="s">
        <v>101</v>
      </c>
      <c r="L102" s="34">
        <v>1</v>
      </c>
      <c r="M102" s="32" t="s">
        <v>88</v>
      </c>
      <c r="N102" s="8" t="s">
        <v>88</v>
      </c>
      <c r="O102" s="33" t="s">
        <v>88</v>
      </c>
      <c r="P102" s="43" t="s">
        <v>88</v>
      </c>
      <c r="Q102" s="44" t="s">
        <v>88</v>
      </c>
      <c r="R102" s="40" t="s">
        <v>88</v>
      </c>
      <c r="S102" s="40" t="s">
        <v>88</v>
      </c>
      <c r="T102" s="40" t="s">
        <v>88</v>
      </c>
      <c r="U102" s="11" t="s">
        <v>88</v>
      </c>
      <c r="V102" s="7" t="s">
        <v>77</v>
      </c>
      <c r="W102" s="8" t="s">
        <v>88</v>
      </c>
      <c r="X102" s="8" t="s">
        <v>88</v>
      </c>
      <c r="Y102" s="10" t="s">
        <v>88</v>
      </c>
    </row>
    <row r="103" spans="1:25" x14ac:dyDescent="0.3">
      <c r="A103" s="22" t="s">
        <v>97</v>
      </c>
      <c r="B103" s="23" t="s">
        <v>46</v>
      </c>
      <c r="C103" s="24" t="s">
        <v>73</v>
      </c>
      <c r="D103" s="25">
        <v>4</v>
      </c>
      <c r="E103" s="26">
        <v>24</v>
      </c>
      <c r="F103" s="26">
        <v>4</v>
      </c>
      <c r="G103" s="5">
        <f t="shared" si="1"/>
        <v>6</v>
      </c>
      <c r="H103" s="20">
        <v>4</v>
      </c>
      <c r="I103" s="21">
        <v>2</v>
      </c>
      <c r="J103" s="39" t="s">
        <v>82</v>
      </c>
      <c r="K103" s="40" t="s">
        <v>101</v>
      </c>
      <c r="L103" s="34">
        <v>4</v>
      </c>
      <c r="M103" s="32">
        <v>4.79</v>
      </c>
      <c r="N103" s="8">
        <v>0.37</v>
      </c>
      <c r="O103" s="33">
        <v>5</v>
      </c>
      <c r="P103" s="43">
        <v>5.03</v>
      </c>
      <c r="Q103" s="44">
        <v>0.32</v>
      </c>
      <c r="R103" s="40">
        <v>5</v>
      </c>
      <c r="S103" s="40">
        <v>5</v>
      </c>
      <c r="T103" s="40">
        <v>5.2</v>
      </c>
      <c r="U103" s="11">
        <v>949.94</v>
      </c>
      <c r="V103" s="7">
        <v>10.08</v>
      </c>
      <c r="W103" s="8">
        <v>956.5</v>
      </c>
      <c r="X103" s="8">
        <v>956.5</v>
      </c>
      <c r="Y103" s="10">
        <v>943.75</v>
      </c>
    </row>
    <row r="104" spans="1:25" x14ac:dyDescent="0.3">
      <c r="A104" s="22" t="s">
        <v>27</v>
      </c>
      <c r="B104" s="23" t="s">
        <v>25</v>
      </c>
      <c r="C104" s="24" t="s">
        <v>52</v>
      </c>
      <c r="D104" s="25">
        <v>4</v>
      </c>
      <c r="E104" s="26">
        <v>43</v>
      </c>
      <c r="F104" s="26">
        <v>4</v>
      </c>
      <c r="G104" s="5">
        <f t="shared" si="1"/>
        <v>10.75</v>
      </c>
      <c r="H104" s="20">
        <v>2</v>
      </c>
      <c r="I104" s="21">
        <v>2</v>
      </c>
      <c r="J104" s="39" t="s">
        <v>82</v>
      </c>
      <c r="K104" s="40" t="s">
        <v>101</v>
      </c>
      <c r="L104" s="34">
        <v>4</v>
      </c>
      <c r="M104" s="32">
        <v>3.17</v>
      </c>
      <c r="N104" s="8">
        <v>0.68</v>
      </c>
      <c r="O104" s="33">
        <v>3.82</v>
      </c>
      <c r="P104" s="43">
        <v>3.56</v>
      </c>
      <c r="Q104" s="44">
        <v>0.75</v>
      </c>
      <c r="R104" s="40">
        <v>3.83</v>
      </c>
      <c r="S104" s="40">
        <v>3.83</v>
      </c>
      <c r="T104" s="40">
        <v>3.93</v>
      </c>
      <c r="U104" s="11">
        <v>958</v>
      </c>
      <c r="V104" s="7">
        <v>2.12</v>
      </c>
      <c r="W104" s="8">
        <v>958</v>
      </c>
      <c r="X104" s="8">
        <v>958</v>
      </c>
      <c r="Y104" s="10">
        <v>958</v>
      </c>
    </row>
    <row r="105" spans="1:25" x14ac:dyDescent="0.3">
      <c r="A105" s="22" t="s">
        <v>27</v>
      </c>
      <c r="B105" s="23" t="s">
        <v>14</v>
      </c>
      <c r="C105" s="24" t="s">
        <v>15</v>
      </c>
      <c r="D105" s="25">
        <v>17</v>
      </c>
      <c r="E105" s="26">
        <v>114</v>
      </c>
      <c r="F105" s="26">
        <v>17</v>
      </c>
      <c r="G105" s="5">
        <f t="shared" si="1"/>
        <v>6.7058823529411766</v>
      </c>
      <c r="H105" s="20">
        <v>13</v>
      </c>
      <c r="I105" s="21">
        <v>9</v>
      </c>
      <c r="J105" s="39" t="s">
        <v>82</v>
      </c>
      <c r="K105" s="40" t="s">
        <v>101</v>
      </c>
      <c r="L105" s="34">
        <v>17</v>
      </c>
      <c r="M105" s="32">
        <v>3.98</v>
      </c>
      <c r="N105" s="8">
        <v>0.42</v>
      </c>
      <c r="O105" s="33">
        <v>4.3</v>
      </c>
      <c r="P105" s="43">
        <v>4.32</v>
      </c>
      <c r="Q105" s="44">
        <v>0.25</v>
      </c>
      <c r="R105" s="40">
        <v>4.1900000000000004</v>
      </c>
      <c r="S105" s="40">
        <v>4.41</v>
      </c>
      <c r="T105" s="40">
        <v>4.58</v>
      </c>
      <c r="U105" s="11">
        <v>962.9</v>
      </c>
      <c r="V105" s="7">
        <v>14.63</v>
      </c>
      <c r="W105" s="8">
        <v>966.25</v>
      </c>
      <c r="X105" s="8">
        <v>957.25</v>
      </c>
      <c r="Y105" s="10">
        <v>948.25</v>
      </c>
    </row>
    <row r="106" spans="1:25" x14ac:dyDescent="0.3">
      <c r="A106" s="22" t="s">
        <v>27</v>
      </c>
      <c r="B106" s="23" t="s">
        <v>14</v>
      </c>
      <c r="C106" s="24" t="s">
        <v>18</v>
      </c>
      <c r="D106" s="25">
        <v>6</v>
      </c>
      <c r="E106" s="26">
        <v>47</v>
      </c>
      <c r="F106" s="26">
        <v>6</v>
      </c>
      <c r="G106" s="5">
        <f t="shared" si="1"/>
        <v>7.833333333333333</v>
      </c>
      <c r="H106" s="20">
        <v>6</v>
      </c>
      <c r="I106" s="21">
        <v>4</v>
      </c>
      <c r="J106" s="39" t="s">
        <v>82</v>
      </c>
      <c r="K106" s="40" t="s">
        <v>101</v>
      </c>
      <c r="L106" s="34">
        <v>6</v>
      </c>
      <c r="M106" s="32">
        <v>3.56</v>
      </c>
      <c r="N106" s="8">
        <v>0.16</v>
      </c>
      <c r="O106" s="33">
        <v>3.68</v>
      </c>
      <c r="P106" s="43">
        <v>4.32</v>
      </c>
      <c r="Q106" s="44">
        <v>0.52</v>
      </c>
      <c r="R106" s="40">
        <v>4.5599999999999996</v>
      </c>
      <c r="S106" s="40">
        <v>4.67</v>
      </c>
      <c r="T106" s="40">
        <v>4.74</v>
      </c>
      <c r="U106" s="11">
        <v>964</v>
      </c>
      <c r="V106" s="7">
        <v>11.94</v>
      </c>
      <c r="W106" s="8">
        <v>964</v>
      </c>
      <c r="X106" s="8">
        <v>956.5</v>
      </c>
      <c r="Y106" s="10">
        <v>953.5</v>
      </c>
    </row>
    <row r="107" spans="1:25" x14ac:dyDescent="0.3">
      <c r="A107" s="22" t="s">
        <v>27</v>
      </c>
      <c r="B107" s="23" t="s">
        <v>17</v>
      </c>
      <c r="C107" s="24" t="s">
        <v>26</v>
      </c>
      <c r="D107" s="25">
        <v>11</v>
      </c>
      <c r="E107" s="26">
        <v>79</v>
      </c>
      <c r="F107" s="26">
        <v>11</v>
      </c>
      <c r="G107" s="5">
        <f t="shared" si="1"/>
        <v>7.1818181818181817</v>
      </c>
      <c r="H107" s="20">
        <v>3</v>
      </c>
      <c r="I107" s="21">
        <v>2</v>
      </c>
      <c r="J107" s="39" t="s">
        <v>82</v>
      </c>
      <c r="K107" s="40" t="s">
        <v>101</v>
      </c>
      <c r="L107" s="34">
        <v>11</v>
      </c>
      <c r="M107" s="32">
        <v>4.5</v>
      </c>
      <c r="N107" s="8">
        <v>0.43</v>
      </c>
      <c r="O107" s="33">
        <v>4.78</v>
      </c>
      <c r="P107" s="43">
        <v>4.49</v>
      </c>
      <c r="Q107" s="44">
        <v>0.43</v>
      </c>
      <c r="R107" s="40">
        <v>4.47</v>
      </c>
      <c r="S107" s="40">
        <v>4.59</v>
      </c>
      <c r="T107" s="40">
        <v>4.75</v>
      </c>
      <c r="U107" s="11">
        <v>949.95</v>
      </c>
      <c r="V107" s="7">
        <v>8.27</v>
      </c>
      <c r="W107" s="8">
        <v>954.25</v>
      </c>
      <c r="X107" s="8">
        <v>946</v>
      </c>
      <c r="Y107" s="10">
        <v>945.25</v>
      </c>
    </row>
    <row r="108" spans="1:25" x14ac:dyDescent="0.3">
      <c r="A108" s="22" t="s">
        <v>27</v>
      </c>
      <c r="B108" s="23" t="s">
        <v>20</v>
      </c>
      <c r="C108" s="24" t="s">
        <v>43</v>
      </c>
      <c r="D108" s="25">
        <v>1</v>
      </c>
      <c r="E108" s="26">
        <v>7</v>
      </c>
      <c r="F108" s="26">
        <v>1</v>
      </c>
      <c r="G108" s="5">
        <f t="shared" si="1"/>
        <v>7</v>
      </c>
      <c r="H108" s="20">
        <v>2</v>
      </c>
      <c r="I108" s="21">
        <v>1</v>
      </c>
      <c r="J108" s="39" t="s">
        <v>82</v>
      </c>
      <c r="K108" s="40" t="s">
        <v>101</v>
      </c>
      <c r="L108" s="34">
        <v>1</v>
      </c>
      <c r="M108" s="32" t="s">
        <v>88</v>
      </c>
      <c r="N108" s="8" t="s">
        <v>88</v>
      </c>
      <c r="O108" s="33" t="s">
        <v>88</v>
      </c>
      <c r="P108" s="43" t="s">
        <v>88</v>
      </c>
      <c r="Q108" s="44" t="s">
        <v>88</v>
      </c>
      <c r="R108" s="40" t="s">
        <v>88</v>
      </c>
      <c r="S108" s="40" t="s">
        <v>88</v>
      </c>
      <c r="T108" s="40" t="s">
        <v>88</v>
      </c>
      <c r="U108" s="11" t="s">
        <v>88</v>
      </c>
      <c r="V108" s="7" t="s">
        <v>77</v>
      </c>
      <c r="W108" s="8" t="s">
        <v>88</v>
      </c>
      <c r="X108" s="8" t="s">
        <v>88</v>
      </c>
      <c r="Y108" s="10" t="s">
        <v>88</v>
      </c>
    </row>
    <row r="109" spans="1:25" x14ac:dyDescent="0.3">
      <c r="A109" s="22" t="s">
        <v>27</v>
      </c>
      <c r="B109" s="23" t="s">
        <v>20</v>
      </c>
      <c r="C109" s="24" t="s">
        <v>45</v>
      </c>
      <c r="D109" s="25">
        <v>2</v>
      </c>
      <c r="E109" s="26">
        <v>31</v>
      </c>
      <c r="F109" s="26">
        <v>2</v>
      </c>
      <c r="G109" s="5">
        <f t="shared" si="1"/>
        <v>15.5</v>
      </c>
      <c r="H109" s="20">
        <v>1</v>
      </c>
      <c r="I109" s="21">
        <v>1</v>
      </c>
      <c r="J109" s="39" t="s">
        <v>82</v>
      </c>
      <c r="K109" s="40" t="s">
        <v>101</v>
      </c>
      <c r="L109" s="34">
        <v>2</v>
      </c>
      <c r="M109" s="32">
        <v>2.91</v>
      </c>
      <c r="N109" s="8" t="s">
        <v>108</v>
      </c>
      <c r="O109" s="33" t="s">
        <v>108</v>
      </c>
      <c r="P109" s="43">
        <v>3.58</v>
      </c>
      <c r="Q109" s="44" t="s">
        <v>111</v>
      </c>
      <c r="R109" s="44" t="s">
        <v>111</v>
      </c>
      <c r="S109" s="44" t="s">
        <v>111</v>
      </c>
      <c r="T109" s="40" t="s">
        <v>108</v>
      </c>
      <c r="U109" s="11">
        <v>982.75</v>
      </c>
      <c r="V109" s="7" t="s">
        <v>108</v>
      </c>
      <c r="W109" s="8" t="s">
        <v>108</v>
      </c>
      <c r="X109" s="8" t="s">
        <v>108</v>
      </c>
      <c r="Y109" s="10" t="s">
        <v>108</v>
      </c>
    </row>
    <row r="110" spans="1:25" x14ac:dyDescent="0.3">
      <c r="A110" s="22" t="s">
        <v>27</v>
      </c>
      <c r="B110" s="23" t="s">
        <v>20</v>
      </c>
      <c r="C110" s="24" t="s">
        <v>49</v>
      </c>
      <c r="D110" s="25">
        <v>1</v>
      </c>
      <c r="E110" s="26">
        <v>10</v>
      </c>
      <c r="F110" s="26">
        <v>1</v>
      </c>
      <c r="G110" s="5">
        <f t="shared" si="1"/>
        <v>10</v>
      </c>
      <c r="H110" s="20">
        <v>1</v>
      </c>
      <c r="I110" s="21">
        <v>1</v>
      </c>
      <c r="J110" s="39" t="s">
        <v>82</v>
      </c>
      <c r="K110" s="40" t="s">
        <v>101</v>
      </c>
      <c r="L110" s="34">
        <v>1</v>
      </c>
      <c r="M110" s="32" t="s">
        <v>88</v>
      </c>
      <c r="N110" s="8" t="s">
        <v>88</v>
      </c>
      <c r="O110" s="33" t="s">
        <v>88</v>
      </c>
      <c r="P110" s="43" t="s">
        <v>88</v>
      </c>
      <c r="Q110" s="44" t="s">
        <v>88</v>
      </c>
      <c r="R110" s="40" t="s">
        <v>88</v>
      </c>
      <c r="S110" s="40" t="s">
        <v>88</v>
      </c>
      <c r="T110" s="40" t="s">
        <v>88</v>
      </c>
      <c r="U110" s="11" t="s">
        <v>88</v>
      </c>
      <c r="V110" s="7" t="s">
        <v>77</v>
      </c>
      <c r="W110" s="8" t="s">
        <v>88</v>
      </c>
      <c r="X110" s="8" t="s">
        <v>88</v>
      </c>
      <c r="Y110" s="10" t="s">
        <v>88</v>
      </c>
    </row>
    <row r="111" spans="1:25" x14ac:dyDescent="0.3">
      <c r="A111" s="22" t="s">
        <v>27</v>
      </c>
      <c r="B111" s="23" t="s">
        <v>23</v>
      </c>
      <c r="C111" s="24" t="s">
        <v>51</v>
      </c>
      <c r="D111" s="25">
        <v>7</v>
      </c>
      <c r="E111" s="26">
        <v>83</v>
      </c>
      <c r="F111" s="26">
        <v>7</v>
      </c>
      <c r="G111" s="5">
        <f t="shared" si="1"/>
        <v>11.857142857142858</v>
      </c>
      <c r="H111" s="20">
        <v>9</v>
      </c>
      <c r="I111" s="21">
        <v>4</v>
      </c>
      <c r="J111" s="39" t="s">
        <v>82</v>
      </c>
      <c r="K111" s="40" t="s">
        <v>101</v>
      </c>
      <c r="L111" s="34">
        <v>7</v>
      </c>
      <c r="M111" s="32">
        <v>3.52</v>
      </c>
      <c r="N111" s="8">
        <v>0.22</v>
      </c>
      <c r="O111" s="33">
        <v>3.59</v>
      </c>
      <c r="P111" s="43">
        <v>3.83</v>
      </c>
      <c r="Q111" s="44">
        <v>0.2</v>
      </c>
      <c r="R111" s="40">
        <v>3.77</v>
      </c>
      <c r="S111" s="40">
        <v>3.79</v>
      </c>
      <c r="T111" s="40">
        <v>3.92</v>
      </c>
      <c r="U111" s="11">
        <v>958.21</v>
      </c>
      <c r="V111" s="7">
        <v>12.37</v>
      </c>
      <c r="W111" s="8">
        <v>960.25</v>
      </c>
      <c r="X111" s="8">
        <v>952</v>
      </c>
      <c r="Y111" s="10">
        <v>951.25</v>
      </c>
    </row>
    <row r="112" spans="1:25" x14ac:dyDescent="0.3">
      <c r="A112" s="22" t="s">
        <v>27</v>
      </c>
      <c r="B112" s="23" t="s">
        <v>28</v>
      </c>
      <c r="C112" s="24" t="s">
        <v>53</v>
      </c>
      <c r="D112" s="25">
        <v>4</v>
      </c>
      <c r="E112" s="26">
        <v>34</v>
      </c>
      <c r="F112" s="26">
        <v>4</v>
      </c>
      <c r="G112" s="5">
        <f t="shared" si="1"/>
        <v>8.5</v>
      </c>
      <c r="H112" s="20">
        <v>1</v>
      </c>
      <c r="I112" s="21">
        <v>1</v>
      </c>
      <c r="J112" s="39" t="s">
        <v>82</v>
      </c>
      <c r="K112" s="40" t="s">
        <v>101</v>
      </c>
      <c r="L112" s="34">
        <v>4</v>
      </c>
      <c r="M112" s="32">
        <v>4.6100000000000003</v>
      </c>
      <c r="N112" s="8">
        <v>0.4</v>
      </c>
      <c r="O112" s="33">
        <v>4.8</v>
      </c>
      <c r="P112" s="43">
        <v>4.76</v>
      </c>
      <c r="Q112" s="44">
        <v>0.28000000000000003</v>
      </c>
      <c r="R112" s="40">
        <v>4.71</v>
      </c>
      <c r="S112" s="40">
        <v>4.71</v>
      </c>
      <c r="T112" s="40">
        <v>4.8</v>
      </c>
      <c r="U112" s="11">
        <v>966.81</v>
      </c>
      <c r="V112" s="7">
        <v>6.72</v>
      </c>
      <c r="W112" s="8">
        <v>964</v>
      </c>
      <c r="X112" s="8">
        <v>964</v>
      </c>
      <c r="Y112" s="10">
        <v>964</v>
      </c>
    </row>
    <row r="113" spans="1:25" x14ac:dyDescent="0.3">
      <c r="A113" s="22" t="s">
        <v>27</v>
      </c>
      <c r="B113" s="23" t="s">
        <v>31</v>
      </c>
      <c r="C113" s="24" t="s">
        <v>54</v>
      </c>
      <c r="D113" s="25">
        <v>1</v>
      </c>
      <c r="E113" s="26">
        <v>15</v>
      </c>
      <c r="F113" s="26">
        <v>1</v>
      </c>
      <c r="G113" s="5">
        <f t="shared" si="1"/>
        <v>15</v>
      </c>
      <c r="H113" s="20" t="s">
        <v>113</v>
      </c>
      <c r="I113" s="21" t="s">
        <v>113</v>
      </c>
      <c r="J113" s="39" t="s">
        <v>82</v>
      </c>
      <c r="K113" s="40" t="s">
        <v>101</v>
      </c>
      <c r="L113" s="34">
        <v>1</v>
      </c>
      <c r="M113" s="32" t="s">
        <v>88</v>
      </c>
      <c r="N113" s="8" t="s">
        <v>88</v>
      </c>
      <c r="O113" s="33" t="s">
        <v>88</v>
      </c>
      <c r="P113" s="43" t="s">
        <v>88</v>
      </c>
      <c r="Q113" s="44" t="s">
        <v>88</v>
      </c>
      <c r="R113" s="40" t="s">
        <v>88</v>
      </c>
      <c r="S113" s="40" t="s">
        <v>88</v>
      </c>
      <c r="T113" s="40" t="s">
        <v>88</v>
      </c>
      <c r="U113" s="11" t="s">
        <v>88</v>
      </c>
      <c r="V113" s="7" t="s">
        <v>77</v>
      </c>
      <c r="W113" s="8" t="s">
        <v>88</v>
      </c>
      <c r="X113" s="8" t="s">
        <v>88</v>
      </c>
      <c r="Y113" s="10" t="s">
        <v>88</v>
      </c>
    </row>
    <row r="114" spans="1:25" x14ac:dyDescent="0.3">
      <c r="A114" s="22" t="s">
        <v>27</v>
      </c>
      <c r="B114" s="23" t="s">
        <v>34</v>
      </c>
      <c r="C114" s="24" t="s">
        <v>55</v>
      </c>
      <c r="D114" s="25">
        <v>3</v>
      </c>
      <c r="E114" s="26">
        <v>32</v>
      </c>
      <c r="F114" s="26">
        <v>3</v>
      </c>
      <c r="G114" s="5">
        <f t="shared" si="1"/>
        <v>10.666666666666666</v>
      </c>
      <c r="H114" s="20">
        <v>3</v>
      </c>
      <c r="I114" s="21">
        <v>2</v>
      </c>
      <c r="J114" s="39" t="s">
        <v>82</v>
      </c>
      <c r="K114" s="40" t="s">
        <v>101</v>
      </c>
      <c r="L114" s="34">
        <v>3</v>
      </c>
      <c r="M114" s="32">
        <v>1.46</v>
      </c>
      <c r="N114" s="8">
        <v>0.04</v>
      </c>
      <c r="O114" s="33" t="s">
        <v>109</v>
      </c>
      <c r="P114" s="43">
        <v>1.71</v>
      </c>
      <c r="Q114" s="44">
        <v>0.17</v>
      </c>
      <c r="R114" s="40" t="s">
        <v>112</v>
      </c>
      <c r="S114" s="40" t="s">
        <v>109</v>
      </c>
      <c r="T114" s="40" t="s">
        <v>109</v>
      </c>
      <c r="U114" s="11">
        <v>952.25</v>
      </c>
      <c r="V114" s="7">
        <v>6.43</v>
      </c>
      <c r="W114" s="8" t="s">
        <v>109</v>
      </c>
      <c r="X114" s="8" t="s">
        <v>109</v>
      </c>
      <c r="Y114" s="10" t="s">
        <v>109</v>
      </c>
    </row>
    <row r="115" spans="1:25" x14ac:dyDescent="0.3">
      <c r="A115" s="22" t="s">
        <v>27</v>
      </c>
      <c r="B115" s="23" t="s">
        <v>40</v>
      </c>
      <c r="C115" s="24" t="s">
        <v>58</v>
      </c>
      <c r="D115" s="25">
        <v>1</v>
      </c>
      <c r="E115" s="26">
        <v>8</v>
      </c>
      <c r="F115" s="26">
        <v>1</v>
      </c>
      <c r="G115" s="5">
        <f t="shared" si="1"/>
        <v>8</v>
      </c>
      <c r="H115" s="20">
        <v>2</v>
      </c>
      <c r="I115" s="21">
        <v>1</v>
      </c>
      <c r="J115" s="39" t="s">
        <v>82</v>
      </c>
      <c r="K115" s="40" t="s">
        <v>101</v>
      </c>
      <c r="L115" s="34">
        <v>1</v>
      </c>
      <c r="M115" s="32" t="s">
        <v>88</v>
      </c>
      <c r="N115" s="8" t="s">
        <v>88</v>
      </c>
      <c r="O115" s="33" t="s">
        <v>88</v>
      </c>
      <c r="P115" s="43" t="s">
        <v>88</v>
      </c>
      <c r="Q115" s="44" t="s">
        <v>88</v>
      </c>
      <c r="R115" s="40" t="s">
        <v>88</v>
      </c>
      <c r="S115" s="40" t="s">
        <v>88</v>
      </c>
      <c r="T115" s="40" t="s">
        <v>88</v>
      </c>
      <c r="U115" s="11" t="s">
        <v>88</v>
      </c>
      <c r="V115" s="7" t="s">
        <v>77</v>
      </c>
      <c r="W115" s="8" t="s">
        <v>88</v>
      </c>
      <c r="X115" s="8" t="s">
        <v>88</v>
      </c>
      <c r="Y115" s="10" t="s">
        <v>88</v>
      </c>
    </row>
    <row r="116" spans="1:25" x14ac:dyDescent="0.3">
      <c r="A116" s="22" t="s">
        <v>27</v>
      </c>
      <c r="B116" s="23" t="s">
        <v>40</v>
      </c>
      <c r="C116" s="24" t="s">
        <v>59</v>
      </c>
      <c r="D116" s="25">
        <v>1</v>
      </c>
      <c r="E116" s="26">
        <v>7</v>
      </c>
      <c r="F116" s="26">
        <v>1</v>
      </c>
      <c r="G116" s="5">
        <f t="shared" si="1"/>
        <v>7</v>
      </c>
      <c r="H116" s="20">
        <v>1</v>
      </c>
      <c r="I116" s="21">
        <v>1</v>
      </c>
      <c r="J116" s="39" t="s">
        <v>82</v>
      </c>
      <c r="K116" s="40" t="s">
        <v>101</v>
      </c>
      <c r="L116" s="34">
        <v>1</v>
      </c>
      <c r="M116" s="32" t="s">
        <v>88</v>
      </c>
      <c r="N116" s="8" t="s">
        <v>88</v>
      </c>
      <c r="O116" s="33" t="s">
        <v>88</v>
      </c>
      <c r="P116" s="43" t="s">
        <v>88</v>
      </c>
      <c r="Q116" s="44" t="s">
        <v>88</v>
      </c>
      <c r="R116" s="40" t="s">
        <v>88</v>
      </c>
      <c r="S116" s="40" t="s">
        <v>88</v>
      </c>
      <c r="T116" s="40" t="s">
        <v>88</v>
      </c>
      <c r="U116" s="11" t="s">
        <v>88</v>
      </c>
      <c r="V116" s="7" t="s">
        <v>77</v>
      </c>
      <c r="W116" s="8" t="s">
        <v>88</v>
      </c>
      <c r="X116" s="8" t="s">
        <v>88</v>
      </c>
      <c r="Y116" s="10" t="s">
        <v>88</v>
      </c>
    </row>
    <row r="117" spans="1:25" x14ac:dyDescent="0.3">
      <c r="A117" s="22" t="s">
        <v>27</v>
      </c>
      <c r="B117" s="23" t="s">
        <v>40</v>
      </c>
      <c r="C117" s="24" t="s">
        <v>62</v>
      </c>
      <c r="D117" s="25">
        <v>1</v>
      </c>
      <c r="E117" s="26">
        <v>7</v>
      </c>
      <c r="F117" s="26">
        <v>1</v>
      </c>
      <c r="G117" s="5">
        <f t="shared" si="1"/>
        <v>7</v>
      </c>
      <c r="H117" s="20" t="s">
        <v>113</v>
      </c>
      <c r="I117" s="21" t="s">
        <v>113</v>
      </c>
      <c r="J117" s="39" t="s">
        <v>82</v>
      </c>
      <c r="K117" s="40" t="s">
        <v>101</v>
      </c>
      <c r="L117" s="34">
        <v>1</v>
      </c>
      <c r="M117" s="32" t="s">
        <v>88</v>
      </c>
      <c r="N117" s="8" t="s">
        <v>88</v>
      </c>
      <c r="O117" s="33" t="s">
        <v>88</v>
      </c>
      <c r="P117" s="43" t="s">
        <v>88</v>
      </c>
      <c r="Q117" s="44" t="s">
        <v>88</v>
      </c>
      <c r="R117" s="40" t="s">
        <v>88</v>
      </c>
      <c r="S117" s="40" t="s">
        <v>88</v>
      </c>
      <c r="T117" s="40" t="s">
        <v>88</v>
      </c>
      <c r="U117" s="11" t="s">
        <v>88</v>
      </c>
      <c r="V117" s="7" t="s">
        <v>77</v>
      </c>
      <c r="W117" s="8" t="s">
        <v>88</v>
      </c>
      <c r="X117" s="8" t="s">
        <v>88</v>
      </c>
      <c r="Y117" s="10" t="s">
        <v>88</v>
      </c>
    </row>
    <row r="118" spans="1:25" x14ac:dyDescent="0.3">
      <c r="A118" s="22" t="s">
        <v>27</v>
      </c>
      <c r="B118" s="23" t="s">
        <v>40</v>
      </c>
      <c r="C118" s="24" t="s">
        <v>63</v>
      </c>
      <c r="D118" s="25">
        <v>1</v>
      </c>
      <c r="E118" s="26">
        <v>7</v>
      </c>
      <c r="F118" s="26">
        <v>1</v>
      </c>
      <c r="G118" s="5">
        <f t="shared" si="1"/>
        <v>7</v>
      </c>
      <c r="H118" s="20" t="s">
        <v>113</v>
      </c>
      <c r="I118" s="21" t="s">
        <v>113</v>
      </c>
      <c r="J118" s="39" t="s">
        <v>82</v>
      </c>
      <c r="K118" s="40" t="s">
        <v>101</v>
      </c>
      <c r="L118" s="34">
        <v>1</v>
      </c>
      <c r="M118" s="32" t="s">
        <v>88</v>
      </c>
      <c r="N118" s="8" t="s">
        <v>88</v>
      </c>
      <c r="O118" s="33" t="s">
        <v>88</v>
      </c>
      <c r="P118" s="43" t="s">
        <v>88</v>
      </c>
      <c r="Q118" s="44" t="s">
        <v>88</v>
      </c>
      <c r="R118" s="40" t="s">
        <v>88</v>
      </c>
      <c r="S118" s="40" t="s">
        <v>88</v>
      </c>
      <c r="T118" s="40" t="s">
        <v>88</v>
      </c>
      <c r="U118" s="11" t="s">
        <v>88</v>
      </c>
      <c r="V118" s="7" t="s">
        <v>77</v>
      </c>
      <c r="W118" s="8" t="s">
        <v>88</v>
      </c>
      <c r="X118" s="8" t="s">
        <v>88</v>
      </c>
      <c r="Y118" s="10" t="s">
        <v>88</v>
      </c>
    </row>
    <row r="119" spans="1:25" x14ac:dyDescent="0.3">
      <c r="A119" s="22" t="s">
        <v>27</v>
      </c>
      <c r="B119" s="23" t="s">
        <v>40</v>
      </c>
      <c r="C119" s="24" t="s">
        <v>64</v>
      </c>
      <c r="D119" s="25">
        <v>1</v>
      </c>
      <c r="E119" s="26">
        <v>19</v>
      </c>
      <c r="F119" s="26">
        <v>1</v>
      </c>
      <c r="G119" s="5">
        <f t="shared" si="1"/>
        <v>19</v>
      </c>
      <c r="H119" s="20" t="s">
        <v>113</v>
      </c>
      <c r="I119" s="21" t="s">
        <v>113</v>
      </c>
      <c r="J119" s="39" t="s">
        <v>82</v>
      </c>
      <c r="K119" s="40" t="s">
        <v>101</v>
      </c>
      <c r="L119" s="34">
        <v>1</v>
      </c>
      <c r="M119" s="32" t="s">
        <v>88</v>
      </c>
      <c r="N119" s="8" t="s">
        <v>88</v>
      </c>
      <c r="O119" s="33" t="s">
        <v>88</v>
      </c>
      <c r="P119" s="43" t="s">
        <v>88</v>
      </c>
      <c r="Q119" s="44" t="s">
        <v>88</v>
      </c>
      <c r="R119" s="40" t="s">
        <v>88</v>
      </c>
      <c r="S119" s="40" t="s">
        <v>88</v>
      </c>
      <c r="T119" s="40" t="s">
        <v>88</v>
      </c>
      <c r="U119" s="11" t="s">
        <v>88</v>
      </c>
      <c r="V119" s="7" t="s">
        <v>77</v>
      </c>
      <c r="W119" s="8" t="s">
        <v>88</v>
      </c>
      <c r="X119" s="8" t="s">
        <v>88</v>
      </c>
      <c r="Y119" s="10" t="s">
        <v>88</v>
      </c>
    </row>
    <row r="120" spans="1:25" x14ac:dyDescent="0.3">
      <c r="A120" s="22" t="s">
        <v>27</v>
      </c>
      <c r="B120" s="23" t="s">
        <v>40</v>
      </c>
      <c r="C120" s="24" t="s">
        <v>65</v>
      </c>
      <c r="D120" s="25">
        <v>1</v>
      </c>
      <c r="E120" s="26">
        <v>8</v>
      </c>
      <c r="F120" s="26">
        <v>1</v>
      </c>
      <c r="G120" s="5">
        <f t="shared" si="1"/>
        <v>8</v>
      </c>
      <c r="H120" s="20" t="s">
        <v>113</v>
      </c>
      <c r="I120" s="21" t="s">
        <v>113</v>
      </c>
      <c r="J120" s="39" t="s">
        <v>82</v>
      </c>
      <c r="K120" s="40" t="s">
        <v>101</v>
      </c>
      <c r="L120" s="34">
        <v>1</v>
      </c>
      <c r="M120" s="32" t="s">
        <v>88</v>
      </c>
      <c r="N120" s="8" t="s">
        <v>88</v>
      </c>
      <c r="O120" s="33" t="s">
        <v>88</v>
      </c>
      <c r="P120" s="43" t="s">
        <v>88</v>
      </c>
      <c r="Q120" s="44" t="s">
        <v>88</v>
      </c>
      <c r="R120" s="40" t="s">
        <v>88</v>
      </c>
      <c r="S120" s="40" t="s">
        <v>88</v>
      </c>
      <c r="T120" s="40" t="s">
        <v>88</v>
      </c>
      <c r="U120" s="11" t="s">
        <v>88</v>
      </c>
      <c r="V120" s="7" t="s">
        <v>77</v>
      </c>
      <c r="W120" s="8" t="s">
        <v>88</v>
      </c>
      <c r="X120" s="8" t="s">
        <v>88</v>
      </c>
      <c r="Y120" s="10" t="s">
        <v>88</v>
      </c>
    </row>
    <row r="121" spans="1:25" x14ac:dyDescent="0.3">
      <c r="A121" s="22" t="s">
        <v>27</v>
      </c>
      <c r="B121" s="23" t="s">
        <v>40</v>
      </c>
      <c r="C121" s="24" t="s">
        <v>67</v>
      </c>
      <c r="D121" s="25">
        <v>1</v>
      </c>
      <c r="E121" s="26">
        <v>12</v>
      </c>
      <c r="F121" s="26">
        <v>1</v>
      </c>
      <c r="G121" s="5">
        <f t="shared" si="1"/>
        <v>12</v>
      </c>
      <c r="H121" s="20" t="s">
        <v>113</v>
      </c>
      <c r="I121" s="21" t="s">
        <v>113</v>
      </c>
      <c r="J121" s="39" t="s">
        <v>82</v>
      </c>
      <c r="K121" s="40" t="s">
        <v>101</v>
      </c>
      <c r="L121" s="34">
        <v>1</v>
      </c>
      <c r="M121" s="32" t="s">
        <v>88</v>
      </c>
      <c r="N121" s="8" t="s">
        <v>88</v>
      </c>
      <c r="O121" s="33" t="s">
        <v>88</v>
      </c>
      <c r="P121" s="43" t="s">
        <v>88</v>
      </c>
      <c r="Q121" s="44" t="s">
        <v>88</v>
      </c>
      <c r="R121" s="40" t="s">
        <v>88</v>
      </c>
      <c r="S121" s="40" t="s">
        <v>88</v>
      </c>
      <c r="T121" s="40" t="s">
        <v>88</v>
      </c>
      <c r="U121" s="11" t="s">
        <v>88</v>
      </c>
      <c r="V121" s="7" t="s">
        <v>77</v>
      </c>
      <c r="W121" s="8" t="s">
        <v>88</v>
      </c>
      <c r="X121" s="8" t="s">
        <v>88</v>
      </c>
      <c r="Y121" s="10" t="s">
        <v>88</v>
      </c>
    </row>
    <row r="122" spans="1:25" x14ac:dyDescent="0.3">
      <c r="A122" s="22" t="s">
        <v>27</v>
      </c>
      <c r="B122" s="23" t="s">
        <v>42</v>
      </c>
      <c r="C122" s="24" t="s">
        <v>69</v>
      </c>
      <c r="D122" s="25">
        <v>6</v>
      </c>
      <c r="E122" s="26">
        <v>45</v>
      </c>
      <c r="F122" s="26">
        <v>6</v>
      </c>
      <c r="G122" s="5">
        <f t="shared" si="1"/>
        <v>7.5</v>
      </c>
      <c r="H122" s="20">
        <v>7</v>
      </c>
      <c r="I122" s="21">
        <v>3</v>
      </c>
      <c r="J122" s="39" t="s">
        <v>82</v>
      </c>
      <c r="K122" s="40" t="s">
        <v>101</v>
      </c>
      <c r="L122" s="34">
        <v>6</v>
      </c>
      <c r="M122" s="32">
        <v>3.92</v>
      </c>
      <c r="N122" s="8">
        <v>0.25</v>
      </c>
      <c r="O122" s="33">
        <v>4.0999999999999996</v>
      </c>
      <c r="P122" s="43">
        <v>4.1399999999999997</v>
      </c>
      <c r="Q122" s="44">
        <v>0.34</v>
      </c>
      <c r="R122" s="40">
        <v>4</v>
      </c>
      <c r="S122" s="40">
        <v>4.0999999999999996</v>
      </c>
      <c r="T122" s="40">
        <v>4.3899999999999997</v>
      </c>
      <c r="U122" s="11">
        <v>965.13</v>
      </c>
      <c r="V122" s="7">
        <v>17.64</v>
      </c>
      <c r="W122" s="8">
        <v>973</v>
      </c>
      <c r="X122" s="8">
        <v>973</v>
      </c>
      <c r="Y122" s="10">
        <v>950.5</v>
      </c>
    </row>
    <row r="123" spans="1:25" x14ac:dyDescent="0.3">
      <c r="A123" s="22" t="s">
        <v>27</v>
      </c>
      <c r="B123" s="23" t="s">
        <v>42</v>
      </c>
      <c r="C123" s="24" t="s">
        <v>70</v>
      </c>
      <c r="D123" s="25">
        <v>2</v>
      </c>
      <c r="E123" s="26">
        <v>17</v>
      </c>
      <c r="F123" s="26">
        <v>1</v>
      </c>
      <c r="G123" s="5">
        <f t="shared" si="1"/>
        <v>8.5</v>
      </c>
      <c r="H123" s="20">
        <v>2</v>
      </c>
      <c r="I123" s="21">
        <v>0</v>
      </c>
      <c r="J123" s="39" t="s">
        <v>82</v>
      </c>
      <c r="K123" s="40" t="s">
        <v>101</v>
      </c>
      <c r="L123" s="34">
        <v>2</v>
      </c>
      <c r="M123" s="32">
        <v>4.25</v>
      </c>
      <c r="N123" s="8" t="s">
        <v>108</v>
      </c>
      <c r="O123" s="33" t="s">
        <v>108</v>
      </c>
      <c r="P123" s="43" t="s">
        <v>88</v>
      </c>
      <c r="Q123" s="44" t="s">
        <v>88</v>
      </c>
      <c r="R123" s="40" t="s">
        <v>88</v>
      </c>
      <c r="S123" s="40" t="s">
        <v>88</v>
      </c>
      <c r="T123" s="40" t="s">
        <v>88</v>
      </c>
      <c r="U123" s="11" t="s">
        <v>88</v>
      </c>
      <c r="V123" s="7" t="s">
        <v>77</v>
      </c>
      <c r="W123" s="8" t="s">
        <v>88</v>
      </c>
      <c r="X123" s="8" t="s">
        <v>88</v>
      </c>
      <c r="Y123" s="10" t="s">
        <v>88</v>
      </c>
    </row>
    <row r="124" spans="1:25" x14ac:dyDescent="0.3">
      <c r="A124" s="22" t="s">
        <v>27</v>
      </c>
      <c r="B124" s="23" t="s">
        <v>42</v>
      </c>
      <c r="C124" s="24" t="s">
        <v>71</v>
      </c>
      <c r="D124" s="25">
        <v>1</v>
      </c>
      <c r="E124" s="26">
        <v>16</v>
      </c>
      <c r="F124" s="26">
        <v>1</v>
      </c>
      <c r="G124" s="5">
        <f t="shared" si="1"/>
        <v>16</v>
      </c>
      <c r="H124" s="20">
        <v>2</v>
      </c>
      <c r="I124" s="21">
        <v>1</v>
      </c>
      <c r="J124" s="39" t="s">
        <v>82</v>
      </c>
      <c r="K124" s="40" t="s">
        <v>101</v>
      </c>
      <c r="L124" s="34">
        <v>1</v>
      </c>
      <c r="M124" s="32" t="s">
        <v>88</v>
      </c>
      <c r="N124" s="8" t="s">
        <v>88</v>
      </c>
      <c r="O124" s="33" t="s">
        <v>88</v>
      </c>
      <c r="P124" s="43" t="s">
        <v>88</v>
      </c>
      <c r="Q124" s="44" t="s">
        <v>88</v>
      </c>
      <c r="R124" s="40" t="s">
        <v>88</v>
      </c>
      <c r="S124" s="40" t="s">
        <v>88</v>
      </c>
      <c r="T124" s="40" t="s">
        <v>88</v>
      </c>
      <c r="U124" s="11" t="s">
        <v>88</v>
      </c>
      <c r="V124" s="7" t="s">
        <v>77</v>
      </c>
      <c r="W124" s="8" t="s">
        <v>88</v>
      </c>
      <c r="X124" s="8" t="s">
        <v>88</v>
      </c>
      <c r="Y124" s="10" t="s">
        <v>88</v>
      </c>
    </row>
    <row r="125" spans="1:25" x14ac:dyDescent="0.3">
      <c r="A125" s="22" t="s">
        <v>27</v>
      </c>
      <c r="B125" s="23" t="s">
        <v>46</v>
      </c>
      <c r="C125" s="24" t="s">
        <v>73</v>
      </c>
      <c r="D125" s="25">
        <v>3</v>
      </c>
      <c r="E125" s="26">
        <v>19</v>
      </c>
      <c r="F125" s="26">
        <v>3</v>
      </c>
      <c r="G125" s="5">
        <f t="shared" si="1"/>
        <v>6.333333333333333</v>
      </c>
      <c r="H125" s="20">
        <v>1</v>
      </c>
      <c r="I125" s="21">
        <v>1</v>
      </c>
      <c r="J125" s="39" t="s">
        <v>82</v>
      </c>
      <c r="K125" s="40" t="s">
        <v>101</v>
      </c>
      <c r="L125" s="34">
        <v>3</v>
      </c>
      <c r="M125" s="32">
        <v>5.23</v>
      </c>
      <c r="N125" s="8">
        <v>0.24</v>
      </c>
      <c r="O125" s="33" t="s">
        <v>109</v>
      </c>
      <c r="P125" s="43">
        <v>5.34</v>
      </c>
      <c r="Q125" s="44">
        <v>0.08</v>
      </c>
      <c r="R125" s="40" t="s">
        <v>112</v>
      </c>
      <c r="S125" s="40" t="s">
        <v>109</v>
      </c>
      <c r="T125" s="40" t="s">
        <v>109</v>
      </c>
      <c r="U125" s="11">
        <v>956.75</v>
      </c>
      <c r="V125" s="7">
        <v>1.54</v>
      </c>
      <c r="W125" s="8" t="s">
        <v>109</v>
      </c>
      <c r="X125" s="8" t="s">
        <v>109</v>
      </c>
      <c r="Y125" s="10" t="s">
        <v>109</v>
      </c>
    </row>
    <row r="126" spans="1:25" x14ac:dyDescent="0.3">
      <c r="A126" s="22" t="s">
        <v>27</v>
      </c>
      <c r="B126" s="23" t="s">
        <v>48</v>
      </c>
      <c r="C126" s="24" t="s">
        <v>74</v>
      </c>
      <c r="D126" s="25">
        <v>1</v>
      </c>
      <c r="E126" s="26">
        <v>4</v>
      </c>
      <c r="F126" s="26">
        <v>1</v>
      </c>
      <c r="G126" s="5">
        <f t="shared" si="1"/>
        <v>4</v>
      </c>
      <c r="H126" s="20" t="s">
        <v>113</v>
      </c>
      <c r="I126" s="21" t="s">
        <v>113</v>
      </c>
      <c r="J126" s="39" t="s">
        <v>82</v>
      </c>
      <c r="K126" s="40" t="s">
        <v>101</v>
      </c>
      <c r="L126" s="34">
        <v>1</v>
      </c>
      <c r="M126" s="32" t="s">
        <v>88</v>
      </c>
      <c r="N126" s="8" t="s">
        <v>88</v>
      </c>
      <c r="O126" s="33" t="s">
        <v>88</v>
      </c>
      <c r="P126" s="43" t="s">
        <v>88</v>
      </c>
      <c r="Q126" s="44" t="s">
        <v>88</v>
      </c>
      <c r="R126" s="40" t="s">
        <v>88</v>
      </c>
      <c r="S126" s="40" t="s">
        <v>88</v>
      </c>
      <c r="T126" s="40" t="s">
        <v>88</v>
      </c>
      <c r="U126" s="11" t="s">
        <v>88</v>
      </c>
      <c r="V126" s="7" t="s">
        <v>77</v>
      </c>
      <c r="W126" s="8" t="s">
        <v>88</v>
      </c>
      <c r="X126" s="8" t="s">
        <v>88</v>
      </c>
      <c r="Y126" s="10" t="s">
        <v>88</v>
      </c>
    </row>
    <row r="127" spans="1:25" x14ac:dyDescent="0.3">
      <c r="A127" s="22" t="s">
        <v>33</v>
      </c>
      <c r="B127" s="23" t="s">
        <v>25</v>
      </c>
      <c r="C127" s="24" t="s">
        <v>52</v>
      </c>
      <c r="D127" s="25">
        <v>3</v>
      </c>
      <c r="E127" s="26">
        <v>20</v>
      </c>
      <c r="F127" s="26">
        <v>3</v>
      </c>
      <c r="G127" s="5">
        <f t="shared" si="1"/>
        <v>6.666666666666667</v>
      </c>
      <c r="H127" s="20" t="s">
        <v>113</v>
      </c>
      <c r="I127" s="21" t="s">
        <v>113</v>
      </c>
      <c r="J127" s="39">
        <v>9</v>
      </c>
      <c r="K127" s="40">
        <v>2.2599999999999998</v>
      </c>
      <c r="L127" s="34">
        <v>3</v>
      </c>
      <c r="M127" s="32">
        <v>1.71</v>
      </c>
      <c r="N127" s="8">
        <v>0.24</v>
      </c>
      <c r="O127" s="33" t="s">
        <v>109</v>
      </c>
      <c r="P127" s="43">
        <v>1.71</v>
      </c>
      <c r="Q127" s="44">
        <v>0.24</v>
      </c>
      <c r="R127" s="40" t="s">
        <v>112</v>
      </c>
      <c r="S127" s="40" t="s">
        <v>109</v>
      </c>
      <c r="T127" s="40" t="s">
        <v>109</v>
      </c>
      <c r="U127" s="11">
        <v>964.6</v>
      </c>
      <c r="V127" s="7">
        <v>6.08</v>
      </c>
      <c r="W127" s="8" t="s">
        <v>109</v>
      </c>
      <c r="X127" s="8" t="s">
        <v>109</v>
      </c>
      <c r="Y127" s="10" t="s">
        <v>109</v>
      </c>
    </row>
    <row r="128" spans="1:25" x14ac:dyDescent="0.3">
      <c r="A128" s="22" t="s">
        <v>33</v>
      </c>
      <c r="B128" s="23" t="s">
        <v>14</v>
      </c>
      <c r="C128" s="24" t="s">
        <v>15</v>
      </c>
      <c r="D128" s="25">
        <v>3</v>
      </c>
      <c r="E128" s="26">
        <v>63</v>
      </c>
      <c r="F128" s="26">
        <v>1</v>
      </c>
      <c r="G128" s="5">
        <f t="shared" si="1"/>
        <v>21</v>
      </c>
      <c r="H128" s="20">
        <v>3</v>
      </c>
      <c r="I128" s="21">
        <v>0</v>
      </c>
      <c r="J128" s="39">
        <v>9</v>
      </c>
      <c r="K128" s="40">
        <v>1.55</v>
      </c>
      <c r="L128" s="34">
        <v>3</v>
      </c>
      <c r="M128" s="32">
        <v>1.22</v>
      </c>
      <c r="N128" s="8">
        <v>0.03</v>
      </c>
      <c r="O128" s="33" t="s">
        <v>109</v>
      </c>
      <c r="P128" s="43" t="s">
        <v>88</v>
      </c>
      <c r="Q128" s="44" t="s">
        <v>88</v>
      </c>
      <c r="R128" s="40" t="s">
        <v>88</v>
      </c>
      <c r="S128" s="40" t="s">
        <v>88</v>
      </c>
      <c r="T128" s="40" t="s">
        <v>88</v>
      </c>
      <c r="U128" s="11" t="s">
        <v>88</v>
      </c>
      <c r="V128" s="7" t="s">
        <v>77</v>
      </c>
      <c r="W128" s="8" t="s">
        <v>88</v>
      </c>
      <c r="X128" s="8" t="s">
        <v>88</v>
      </c>
      <c r="Y128" s="10" t="s">
        <v>88</v>
      </c>
    </row>
    <row r="129" spans="1:25" x14ac:dyDescent="0.3">
      <c r="A129" s="22" t="s">
        <v>33</v>
      </c>
      <c r="B129" s="23" t="s">
        <v>14</v>
      </c>
      <c r="C129" s="24" t="s">
        <v>18</v>
      </c>
      <c r="D129" s="25">
        <v>2</v>
      </c>
      <c r="E129" s="26">
        <v>25</v>
      </c>
      <c r="F129" s="26">
        <v>2</v>
      </c>
      <c r="G129" s="5">
        <f t="shared" si="1"/>
        <v>12.5</v>
      </c>
      <c r="H129" s="20" t="s">
        <v>113</v>
      </c>
      <c r="I129" s="21" t="s">
        <v>113</v>
      </c>
      <c r="J129" s="39">
        <v>6</v>
      </c>
      <c r="K129" s="40">
        <v>2.2599999999999998</v>
      </c>
      <c r="L129" s="34">
        <v>2</v>
      </c>
      <c r="M129" s="32">
        <v>2</v>
      </c>
      <c r="N129" s="8" t="s">
        <v>108</v>
      </c>
      <c r="O129" s="33" t="s">
        <v>108</v>
      </c>
      <c r="P129" s="43">
        <v>2</v>
      </c>
      <c r="Q129" s="44" t="s">
        <v>111</v>
      </c>
      <c r="R129" s="44" t="s">
        <v>111</v>
      </c>
      <c r="S129" s="44" t="s">
        <v>111</v>
      </c>
      <c r="T129" s="40" t="s">
        <v>108</v>
      </c>
      <c r="U129" s="11">
        <v>966.2</v>
      </c>
      <c r="V129" s="7" t="s">
        <v>108</v>
      </c>
      <c r="W129" s="8" t="s">
        <v>108</v>
      </c>
      <c r="X129" s="8" t="s">
        <v>108</v>
      </c>
      <c r="Y129" s="10" t="s">
        <v>108</v>
      </c>
    </row>
    <row r="130" spans="1:25" x14ac:dyDescent="0.3">
      <c r="A130" s="22" t="s">
        <v>33</v>
      </c>
      <c r="B130" s="23" t="s">
        <v>17</v>
      </c>
      <c r="C130" s="24" t="s">
        <v>26</v>
      </c>
      <c r="D130" s="25">
        <v>4</v>
      </c>
      <c r="E130" s="26">
        <v>34</v>
      </c>
      <c r="F130" s="26">
        <v>4</v>
      </c>
      <c r="G130" s="5">
        <f t="shared" si="1"/>
        <v>8.5</v>
      </c>
      <c r="H130" s="20">
        <v>5</v>
      </c>
      <c r="I130" s="21">
        <v>2</v>
      </c>
      <c r="J130" s="39">
        <v>12</v>
      </c>
      <c r="K130" s="40">
        <v>2.04</v>
      </c>
      <c r="L130" s="34">
        <v>4</v>
      </c>
      <c r="M130" s="32">
        <v>1.9</v>
      </c>
      <c r="N130" s="8">
        <v>0.64</v>
      </c>
      <c r="O130" s="33">
        <v>2.41</v>
      </c>
      <c r="P130" s="43">
        <v>2.0099999999999998</v>
      </c>
      <c r="Q130" s="44">
        <v>0.44</v>
      </c>
      <c r="R130" s="40">
        <v>1.71</v>
      </c>
      <c r="S130" s="40">
        <v>1.71</v>
      </c>
      <c r="T130" s="40">
        <v>2.21</v>
      </c>
      <c r="U130" s="11">
        <v>966.75</v>
      </c>
      <c r="V130" s="7">
        <v>7.76</v>
      </c>
      <c r="W130" s="8">
        <v>967.2</v>
      </c>
      <c r="X130" s="8">
        <v>967.2</v>
      </c>
      <c r="Y130" s="10">
        <v>961.4</v>
      </c>
    </row>
    <row r="131" spans="1:25" x14ac:dyDescent="0.3">
      <c r="A131" s="22" t="s">
        <v>33</v>
      </c>
      <c r="B131" s="23" t="s">
        <v>28</v>
      </c>
      <c r="C131" s="24" t="s">
        <v>53</v>
      </c>
      <c r="D131" s="25">
        <v>4</v>
      </c>
      <c r="E131" s="26">
        <v>16</v>
      </c>
      <c r="F131" s="26">
        <v>4</v>
      </c>
      <c r="G131" s="5">
        <f t="shared" si="1"/>
        <v>4</v>
      </c>
      <c r="H131" s="20">
        <v>2</v>
      </c>
      <c r="I131" s="21">
        <v>1</v>
      </c>
      <c r="J131" s="39">
        <v>9</v>
      </c>
      <c r="K131" s="40">
        <v>2.5099999999999998</v>
      </c>
      <c r="L131" s="34">
        <v>4</v>
      </c>
      <c r="M131" s="32">
        <v>1.95</v>
      </c>
      <c r="N131" s="8">
        <v>0.27</v>
      </c>
      <c r="O131" s="33">
        <v>2.02</v>
      </c>
      <c r="P131" s="43">
        <v>2.14</v>
      </c>
      <c r="Q131" s="44">
        <v>0.46</v>
      </c>
      <c r="R131" s="40">
        <v>1.74</v>
      </c>
      <c r="S131" s="40">
        <v>1.74</v>
      </c>
      <c r="T131" s="40">
        <v>2.36</v>
      </c>
      <c r="U131" s="11">
        <v>950</v>
      </c>
      <c r="V131" s="7">
        <v>19.149999999999999</v>
      </c>
      <c r="W131" s="8">
        <v>963.2</v>
      </c>
      <c r="X131" s="8">
        <v>963.2</v>
      </c>
      <c r="Y131" s="10">
        <v>944</v>
      </c>
    </row>
    <row r="132" spans="1:25" x14ac:dyDescent="0.3">
      <c r="A132" s="22" t="s">
        <v>98</v>
      </c>
      <c r="B132" s="23" t="s">
        <v>25</v>
      </c>
      <c r="C132" s="24" t="s">
        <v>52</v>
      </c>
      <c r="D132" s="25">
        <v>1</v>
      </c>
      <c r="E132" s="26">
        <v>6</v>
      </c>
      <c r="F132" s="26">
        <v>0</v>
      </c>
      <c r="G132" s="5">
        <f t="shared" si="1"/>
        <v>6</v>
      </c>
      <c r="H132" s="20">
        <v>5</v>
      </c>
      <c r="I132" s="21">
        <v>0</v>
      </c>
      <c r="J132" s="39" t="s">
        <v>82</v>
      </c>
      <c r="K132" s="40" t="s">
        <v>101</v>
      </c>
      <c r="L132" s="34">
        <v>1</v>
      </c>
      <c r="M132" s="32" t="s">
        <v>88</v>
      </c>
      <c r="N132" s="8" t="s">
        <v>88</v>
      </c>
      <c r="O132" s="33" t="s">
        <v>88</v>
      </c>
      <c r="P132" s="43" t="s">
        <v>102</v>
      </c>
      <c r="Q132" s="44" t="s">
        <v>102</v>
      </c>
      <c r="R132" s="40" t="s">
        <v>102</v>
      </c>
      <c r="S132" s="40" t="s">
        <v>102</v>
      </c>
      <c r="T132" s="40" t="s">
        <v>102</v>
      </c>
      <c r="U132" s="11" t="s">
        <v>103</v>
      </c>
      <c r="V132" s="7" t="s">
        <v>102</v>
      </c>
      <c r="W132" s="8" t="s">
        <v>102</v>
      </c>
      <c r="X132" s="8" t="s">
        <v>102</v>
      </c>
      <c r="Y132" s="10" t="s">
        <v>102</v>
      </c>
    </row>
    <row r="133" spans="1:25" x14ac:dyDescent="0.3">
      <c r="A133" s="22" t="s">
        <v>98</v>
      </c>
      <c r="B133" s="23" t="s">
        <v>14</v>
      </c>
      <c r="C133" s="24" t="s">
        <v>15</v>
      </c>
      <c r="D133" s="25">
        <v>2</v>
      </c>
      <c r="E133" s="26">
        <v>8</v>
      </c>
      <c r="F133" s="26">
        <v>2</v>
      </c>
      <c r="G133" s="5">
        <f t="shared" si="1"/>
        <v>4</v>
      </c>
      <c r="H133" s="20">
        <v>3</v>
      </c>
      <c r="I133" s="21">
        <v>1</v>
      </c>
      <c r="J133" s="39" t="s">
        <v>82</v>
      </c>
      <c r="K133" s="40" t="s">
        <v>101</v>
      </c>
      <c r="L133" s="34">
        <v>2</v>
      </c>
      <c r="M133" s="32">
        <v>5.37</v>
      </c>
      <c r="N133" s="8" t="s">
        <v>108</v>
      </c>
      <c r="O133" s="33" t="s">
        <v>108</v>
      </c>
      <c r="P133" s="43">
        <v>5.59</v>
      </c>
      <c r="Q133" s="44" t="s">
        <v>111</v>
      </c>
      <c r="R133" s="44" t="s">
        <v>111</v>
      </c>
      <c r="S133" s="44" t="s">
        <v>111</v>
      </c>
      <c r="T133" s="40" t="s">
        <v>108</v>
      </c>
      <c r="U133" s="11">
        <v>916</v>
      </c>
      <c r="V133" s="7" t="s">
        <v>108</v>
      </c>
      <c r="W133" s="8" t="s">
        <v>108</v>
      </c>
      <c r="X133" s="8" t="s">
        <v>108</v>
      </c>
      <c r="Y133" s="10" t="s">
        <v>108</v>
      </c>
    </row>
    <row r="134" spans="1:25" x14ac:dyDescent="0.3">
      <c r="A134" s="22" t="s">
        <v>98</v>
      </c>
      <c r="B134" s="23" t="s">
        <v>23</v>
      </c>
      <c r="C134" s="24" t="s">
        <v>51</v>
      </c>
      <c r="D134" s="25">
        <v>2</v>
      </c>
      <c r="E134" s="26">
        <v>16</v>
      </c>
      <c r="F134" s="26">
        <v>2</v>
      </c>
      <c r="G134" s="5">
        <f t="shared" si="1"/>
        <v>8</v>
      </c>
      <c r="H134" s="20">
        <v>1</v>
      </c>
      <c r="I134" s="21">
        <v>1</v>
      </c>
      <c r="J134" s="39" t="s">
        <v>82</v>
      </c>
      <c r="K134" s="40" t="s">
        <v>101</v>
      </c>
      <c r="L134" s="34">
        <v>2</v>
      </c>
      <c r="M134" s="32">
        <v>4.82</v>
      </c>
      <c r="N134" s="8" t="s">
        <v>108</v>
      </c>
      <c r="O134" s="33" t="s">
        <v>108</v>
      </c>
      <c r="P134" s="43">
        <v>4.78</v>
      </c>
      <c r="Q134" s="44" t="s">
        <v>111</v>
      </c>
      <c r="R134" s="44" t="s">
        <v>111</v>
      </c>
      <c r="S134" s="44" t="s">
        <v>111</v>
      </c>
      <c r="T134" s="40" t="s">
        <v>108</v>
      </c>
      <c r="U134" s="11">
        <v>956.5</v>
      </c>
      <c r="V134" s="7" t="s">
        <v>108</v>
      </c>
      <c r="W134" s="8" t="s">
        <v>108</v>
      </c>
      <c r="X134" s="8" t="s">
        <v>108</v>
      </c>
      <c r="Y134" s="10" t="s">
        <v>108</v>
      </c>
    </row>
    <row r="135" spans="1:25" x14ac:dyDescent="0.3">
      <c r="A135" s="22" t="s">
        <v>98</v>
      </c>
      <c r="B135" s="23" t="s">
        <v>28</v>
      </c>
      <c r="C135" s="24" t="s">
        <v>53</v>
      </c>
      <c r="D135" s="25">
        <v>1</v>
      </c>
      <c r="E135" s="26">
        <v>3</v>
      </c>
      <c r="F135" s="26">
        <v>0</v>
      </c>
      <c r="G135" s="5">
        <f t="shared" si="1"/>
        <v>3</v>
      </c>
      <c r="H135" s="20">
        <v>2</v>
      </c>
      <c r="I135" s="21">
        <v>0</v>
      </c>
      <c r="J135" s="39" t="s">
        <v>82</v>
      </c>
      <c r="K135" s="40" t="s">
        <v>101</v>
      </c>
      <c r="L135" s="34">
        <v>1</v>
      </c>
      <c r="M135" s="32" t="s">
        <v>88</v>
      </c>
      <c r="N135" s="8" t="s">
        <v>88</v>
      </c>
      <c r="O135" s="33" t="s">
        <v>88</v>
      </c>
      <c r="P135" s="43" t="s">
        <v>102</v>
      </c>
      <c r="Q135" s="44" t="s">
        <v>102</v>
      </c>
      <c r="R135" s="40" t="s">
        <v>102</v>
      </c>
      <c r="S135" s="40" t="s">
        <v>102</v>
      </c>
      <c r="T135" s="40" t="s">
        <v>102</v>
      </c>
      <c r="U135" s="11" t="s">
        <v>103</v>
      </c>
      <c r="V135" s="7" t="s">
        <v>102</v>
      </c>
      <c r="W135" s="8" t="s">
        <v>102</v>
      </c>
      <c r="X135" s="8" t="s">
        <v>102</v>
      </c>
      <c r="Y135" s="10" t="s">
        <v>102</v>
      </c>
    </row>
    <row r="136" spans="1:25" x14ac:dyDescent="0.3">
      <c r="A136" s="22" t="s">
        <v>98</v>
      </c>
      <c r="B136" s="23" t="s">
        <v>40</v>
      </c>
      <c r="C136" s="24" t="s">
        <v>59</v>
      </c>
      <c r="D136" s="25">
        <v>1</v>
      </c>
      <c r="E136" s="26">
        <v>2</v>
      </c>
      <c r="F136" s="26">
        <v>0</v>
      </c>
      <c r="G136" s="5">
        <f t="shared" si="1"/>
        <v>2</v>
      </c>
      <c r="H136" s="20">
        <v>1</v>
      </c>
      <c r="I136" s="21">
        <v>0</v>
      </c>
      <c r="J136" s="39" t="s">
        <v>82</v>
      </c>
      <c r="K136" s="40" t="s">
        <v>101</v>
      </c>
      <c r="L136" s="34">
        <v>1</v>
      </c>
      <c r="M136" s="32" t="s">
        <v>88</v>
      </c>
      <c r="N136" s="8" t="s">
        <v>88</v>
      </c>
      <c r="O136" s="33" t="s">
        <v>88</v>
      </c>
      <c r="P136" s="43" t="s">
        <v>102</v>
      </c>
      <c r="Q136" s="44" t="s">
        <v>102</v>
      </c>
      <c r="R136" s="40" t="s">
        <v>102</v>
      </c>
      <c r="S136" s="40" t="s">
        <v>102</v>
      </c>
      <c r="T136" s="40" t="s">
        <v>102</v>
      </c>
      <c r="U136" s="11" t="s">
        <v>103</v>
      </c>
      <c r="V136" s="7" t="s">
        <v>102</v>
      </c>
      <c r="W136" s="8" t="s">
        <v>102</v>
      </c>
      <c r="X136" s="8" t="s">
        <v>102</v>
      </c>
      <c r="Y136" s="10" t="s">
        <v>102</v>
      </c>
    </row>
    <row r="137" spans="1:25" x14ac:dyDescent="0.3">
      <c r="A137" s="22" t="s">
        <v>98</v>
      </c>
      <c r="B137" s="23" t="s">
        <v>40</v>
      </c>
      <c r="C137" s="24" t="s">
        <v>62</v>
      </c>
      <c r="D137" s="25">
        <v>2</v>
      </c>
      <c r="E137" s="26">
        <v>4</v>
      </c>
      <c r="F137" s="26">
        <v>0</v>
      </c>
      <c r="G137" s="5">
        <f t="shared" si="1"/>
        <v>2</v>
      </c>
      <c r="H137" s="20">
        <v>2</v>
      </c>
      <c r="I137" s="21">
        <v>0</v>
      </c>
      <c r="J137" s="39" t="s">
        <v>82</v>
      </c>
      <c r="K137" s="40" t="s">
        <v>101</v>
      </c>
      <c r="L137" s="34">
        <v>2</v>
      </c>
      <c r="M137" s="32">
        <v>3.66</v>
      </c>
      <c r="N137" s="8" t="s">
        <v>108</v>
      </c>
      <c r="O137" s="33" t="s">
        <v>108</v>
      </c>
      <c r="P137" s="43" t="s">
        <v>102</v>
      </c>
      <c r="Q137" s="44" t="s">
        <v>102</v>
      </c>
      <c r="R137" s="40" t="s">
        <v>102</v>
      </c>
      <c r="S137" s="40" t="s">
        <v>102</v>
      </c>
      <c r="T137" s="40" t="s">
        <v>102</v>
      </c>
      <c r="U137" s="11" t="s">
        <v>103</v>
      </c>
      <c r="V137" s="7" t="s">
        <v>102</v>
      </c>
      <c r="W137" s="8" t="s">
        <v>102</v>
      </c>
      <c r="X137" s="8" t="s">
        <v>102</v>
      </c>
      <c r="Y137" s="10" t="s">
        <v>102</v>
      </c>
    </row>
    <row r="138" spans="1:25" x14ac:dyDescent="0.3">
      <c r="A138" s="22" t="s">
        <v>98</v>
      </c>
      <c r="B138" s="23" t="s">
        <v>40</v>
      </c>
      <c r="C138" s="24" t="s">
        <v>67</v>
      </c>
      <c r="D138" s="25">
        <v>2</v>
      </c>
      <c r="E138" s="26">
        <v>3</v>
      </c>
      <c r="F138" s="26">
        <v>2</v>
      </c>
      <c r="G138" s="5">
        <f t="shared" si="1"/>
        <v>1.5</v>
      </c>
      <c r="H138" s="20">
        <v>1</v>
      </c>
      <c r="I138" s="21">
        <v>1</v>
      </c>
      <c r="J138" s="39" t="s">
        <v>82</v>
      </c>
      <c r="K138" s="40" t="s">
        <v>101</v>
      </c>
      <c r="L138" s="34">
        <v>2</v>
      </c>
      <c r="M138" s="32">
        <v>7.1</v>
      </c>
      <c r="N138" s="8" t="s">
        <v>108</v>
      </c>
      <c r="O138" s="33" t="s">
        <v>108</v>
      </c>
      <c r="P138" s="43">
        <v>7.99</v>
      </c>
      <c r="Q138" s="44" t="s">
        <v>111</v>
      </c>
      <c r="R138" s="44" t="s">
        <v>111</v>
      </c>
      <c r="S138" s="44" t="s">
        <v>111</v>
      </c>
      <c r="T138" s="40" t="s">
        <v>108</v>
      </c>
      <c r="U138" s="11">
        <v>887.5</v>
      </c>
      <c r="V138" s="7" t="s">
        <v>108</v>
      </c>
      <c r="W138" s="8" t="s">
        <v>108</v>
      </c>
      <c r="X138" s="8" t="s">
        <v>108</v>
      </c>
      <c r="Y138" s="10" t="s">
        <v>108</v>
      </c>
    </row>
    <row r="139" spans="1:25" x14ac:dyDescent="0.3">
      <c r="A139" s="22" t="s">
        <v>98</v>
      </c>
      <c r="B139" s="23" t="s">
        <v>42</v>
      </c>
      <c r="C139" s="24" t="s">
        <v>69</v>
      </c>
      <c r="D139" s="25">
        <v>2</v>
      </c>
      <c r="E139" s="26">
        <v>9</v>
      </c>
      <c r="F139" s="26">
        <v>1</v>
      </c>
      <c r="G139" s="5">
        <f t="shared" si="1"/>
        <v>4.5</v>
      </c>
      <c r="H139" s="20">
        <v>5</v>
      </c>
      <c r="I139" s="21">
        <v>1</v>
      </c>
      <c r="J139" s="39" t="s">
        <v>82</v>
      </c>
      <c r="K139" s="40" t="s">
        <v>101</v>
      </c>
      <c r="L139" s="34">
        <v>2</v>
      </c>
      <c r="M139" s="32">
        <v>4.72</v>
      </c>
      <c r="N139" s="8" t="s">
        <v>108</v>
      </c>
      <c r="O139" s="33" t="s">
        <v>108</v>
      </c>
      <c r="P139" s="43" t="s">
        <v>88</v>
      </c>
      <c r="Q139" s="44" t="s">
        <v>88</v>
      </c>
      <c r="R139" s="40" t="s">
        <v>88</v>
      </c>
      <c r="S139" s="40" t="s">
        <v>88</v>
      </c>
      <c r="T139" s="40" t="s">
        <v>88</v>
      </c>
      <c r="U139" s="11" t="s">
        <v>88</v>
      </c>
      <c r="V139" s="7" t="s">
        <v>77</v>
      </c>
      <c r="W139" s="8" t="s">
        <v>88</v>
      </c>
      <c r="X139" s="8" t="s">
        <v>88</v>
      </c>
      <c r="Y139" s="10" t="s">
        <v>88</v>
      </c>
    </row>
    <row r="140" spans="1:25" x14ac:dyDescent="0.3">
      <c r="A140" s="22" t="s">
        <v>98</v>
      </c>
      <c r="B140" s="23" t="s">
        <v>46</v>
      </c>
      <c r="C140" s="24" t="s">
        <v>73</v>
      </c>
      <c r="D140" s="25">
        <v>1</v>
      </c>
      <c r="E140" s="26">
        <v>3</v>
      </c>
      <c r="F140" s="26">
        <v>1</v>
      </c>
      <c r="G140" s="5">
        <f t="shared" si="1"/>
        <v>3</v>
      </c>
      <c r="H140" s="20">
        <v>2</v>
      </c>
      <c r="I140" s="21">
        <v>1</v>
      </c>
      <c r="J140" s="39" t="s">
        <v>82</v>
      </c>
      <c r="K140" s="40" t="s">
        <v>101</v>
      </c>
      <c r="L140" s="34">
        <v>1</v>
      </c>
      <c r="M140" s="32" t="s">
        <v>88</v>
      </c>
      <c r="N140" s="8" t="s">
        <v>88</v>
      </c>
      <c r="O140" s="33" t="s">
        <v>88</v>
      </c>
      <c r="P140" s="43" t="s">
        <v>88</v>
      </c>
      <c r="Q140" s="44" t="s">
        <v>88</v>
      </c>
      <c r="R140" s="40" t="s">
        <v>88</v>
      </c>
      <c r="S140" s="40" t="s">
        <v>88</v>
      </c>
      <c r="T140" s="40" t="s">
        <v>88</v>
      </c>
      <c r="U140" s="11" t="s">
        <v>88</v>
      </c>
      <c r="V140" s="7" t="s">
        <v>77</v>
      </c>
      <c r="W140" s="8" t="s">
        <v>88</v>
      </c>
      <c r="X140" s="8" t="s">
        <v>88</v>
      </c>
      <c r="Y140" s="10" t="s">
        <v>88</v>
      </c>
    </row>
    <row r="141" spans="1:25" x14ac:dyDescent="0.3">
      <c r="A141" s="22" t="s">
        <v>22</v>
      </c>
      <c r="B141" s="23" t="s">
        <v>17</v>
      </c>
      <c r="C141" s="24" t="s">
        <v>32</v>
      </c>
      <c r="D141" s="25">
        <v>10</v>
      </c>
      <c r="E141" s="26">
        <v>14</v>
      </c>
      <c r="F141" s="26">
        <v>4</v>
      </c>
      <c r="G141" s="5">
        <f t="shared" si="1"/>
        <v>1.4</v>
      </c>
      <c r="H141" s="20">
        <v>4</v>
      </c>
      <c r="I141" s="21">
        <v>1</v>
      </c>
      <c r="J141" s="39" t="s">
        <v>82</v>
      </c>
      <c r="K141" s="40" t="s">
        <v>101</v>
      </c>
      <c r="L141" s="34">
        <v>10</v>
      </c>
      <c r="M141" s="32">
        <v>3.35</v>
      </c>
      <c r="N141" s="8">
        <v>1.47</v>
      </c>
      <c r="O141" s="33">
        <v>3.53</v>
      </c>
      <c r="P141" s="43">
        <v>3.59</v>
      </c>
      <c r="Q141" s="44">
        <v>2.12</v>
      </c>
      <c r="R141" s="40">
        <v>2.27</v>
      </c>
      <c r="S141" s="40">
        <v>2.27</v>
      </c>
      <c r="T141" s="40">
        <v>4.49</v>
      </c>
      <c r="U141" s="11">
        <v>927.25</v>
      </c>
      <c r="V141" s="7">
        <v>38.96</v>
      </c>
      <c r="W141" s="8">
        <v>925</v>
      </c>
      <c r="X141" s="8">
        <v>925</v>
      </c>
      <c r="Y141" s="10">
        <v>904</v>
      </c>
    </row>
    <row r="142" spans="1:25" x14ac:dyDescent="0.3">
      <c r="A142" s="22" t="s">
        <v>30</v>
      </c>
      <c r="B142" s="23" t="s">
        <v>14</v>
      </c>
      <c r="C142" s="24" t="s">
        <v>21</v>
      </c>
      <c r="D142" s="25">
        <v>14</v>
      </c>
      <c r="E142" s="26">
        <v>13</v>
      </c>
      <c r="F142" s="26">
        <v>4</v>
      </c>
      <c r="G142" s="5">
        <f t="shared" si="1"/>
        <v>0.9285714285714286</v>
      </c>
      <c r="H142" s="20" t="s">
        <v>113</v>
      </c>
      <c r="I142" s="21" t="s">
        <v>113</v>
      </c>
      <c r="J142" s="39">
        <v>11</v>
      </c>
      <c r="K142" s="40">
        <v>3.41</v>
      </c>
      <c r="L142" s="34">
        <v>8</v>
      </c>
      <c r="M142" s="32">
        <v>3.05</v>
      </c>
      <c r="N142" s="8">
        <v>1.78</v>
      </c>
      <c r="O142" s="33">
        <v>5.45</v>
      </c>
      <c r="P142" s="43">
        <v>1.18</v>
      </c>
      <c r="Q142" s="44" t="s">
        <v>113</v>
      </c>
      <c r="R142" s="40">
        <v>1.18</v>
      </c>
      <c r="S142" s="40">
        <v>1.18</v>
      </c>
      <c r="T142" s="40">
        <v>1.18</v>
      </c>
      <c r="U142" s="11">
        <v>940.9</v>
      </c>
      <c r="V142" s="7">
        <v>16.96</v>
      </c>
      <c r="W142" s="8">
        <v>944.8</v>
      </c>
      <c r="X142" s="8">
        <v>944.8</v>
      </c>
      <c r="Y142" s="10">
        <v>929.2</v>
      </c>
    </row>
    <row r="143" spans="1:25" x14ac:dyDescent="0.3">
      <c r="A143" s="22" t="s">
        <v>30</v>
      </c>
      <c r="B143" s="23" t="s">
        <v>14</v>
      </c>
      <c r="C143" s="24" t="s">
        <v>24</v>
      </c>
      <c r="D143" s="25">
        <v>52</v>
      </c>
      <c r="E143" s="26">
        <v>6</v>
      </c>
      <c r="F143" s="26">
        <v>2</v>
      </c>
      <c r="G143" s="5">
        <f t="shared" ref="G143:G146" si="2">E143/D143</f>
        <v>0.11538461538461539</v>
      </c>
      <c r="H143" s="20" t="s">
        <v>113</v>
      </c>
      <c r="I143" s="21" t="s">
        <v>113</v>
      </c>
      <c r="J143" s="39">
        <v>6</v>
      </c>
      <c r="K143" s="40">
        <v>5.52</v>
      </c>
      <c r="L143" s="34">
        <v>4</v>
      </c>
      <c r="M143" s="32">
        <v>5.65</v>
      </c>
      <c r="N143" s="8">
        <v>0.86</v>
      </c>
      <c r="O143" s="33">
        <v>6.82</v>
      </c>
      <c r="P143" s="43">
        <v>6.09</v>
      </c>
      <c r="Q143" s="44" t="s">
        <v>111</v>
      </c>
      <c r="R143" s="44" t="s">
        <v>111</v>
      </c>
      <c r="S143" s="44" t="s">
        <v>111</v>
      </c>
      <c r="T143" s="40" t="s">
        <v>108</v>
      </c>
      <c r="U143" s="11">
        <v>937</v>
      </c>
      <c r="V143" s="7" t="s">
        <v>108</v>
      </c>
      <c r="W143" s="8" t="s">
        <v>108</v>
      </c>
      <c r="X143" s="8" t="s">
        <v>108</v>
      </c>
      <c r="Y143" s="10" t="s">
        <v>108</v>
      </c>
    </row>
    <row r="144" spans="1:25" x14ac:dyDescent="0.3">
      <c r="A144" s="22" t="s">
        <v>30</v>
      </c>
      <c r="B144" s="23" t="s">
        <v>17</v>
      </c>
      <c r="C144" s="24" t="s">
        <v>29</v>
      </c>
      <c r="D144" s="25">
        <v>11</v>
      </c>
      <c r="E144" s="26">
        <v>3</v>
      </c>
      <c r="F144" s="26">
        <v>1</v>
      </c>
      <c r="G144" s="5">
        <f t="shared" si="2"/>
        <v>0.27272727272727271</v>
      </c>
      <c r="H144" s="20" t="s">
        <v>113</v>
      </c>
      <c r="I144" s="21" t="s">
        <v>113</v>
      </c>
      <c r="J144" s="39">
        <v>3</v>
      </c>
      <c r="K144" s="40">
        <v>5.12</v>
      </c>
      <c r="L144" s="34">
        <v>2</v>
      </c>
      <c r="M144" s="32">
        <v>5.12</v>
      </c>
      <c r="N144" s="8" t="s">
        <v>108</v>
      </c>
      <c r="O144" s="33" t="s">
        <v>108</v>
      </c>
      <c r="P144" s="43" t="s">
        <v>88</v>
      </c>
      <c r="Q144" s="44" t="s">
        <v>88</v>
      </c>
      <c r="R144" s="40" t="s">
        <v>88</v>
      </c>
      <c r="S144" s="40" t="s">
        <v>88</v>
      </c>
      <c r="T144" s="40" t="s">
        <v>88</v>
      </c>
      <c r="U144" s="11" t="s">
        <v>88</v>
      </c>
      <c r="V144" s="7" t="s">
        <v>77</v>
      </c>
      <c r="W144" s="8" t="s">
        <v>88</v>
      </c>
      <c r="X144" s="8" t="s">
        <v>88</v>
      </c>
      <c r="Y144" s="10" t="s">
        <v>88</v>
      </c>
    </row>
    <row r="145" spans="1:25" x14ac:dyDescent="0.3">
      <c r="A145" s="22" t="s">
        <v>30</v>
      </c>
      <c r="B145" s="23" t="s">
        <v>17</v>
      </c>
      <c r="C145" s="24" t="s">
        <v>32</v>
      </c>
      <c r="D145" s="25">
        <v>19</v>
      </c>
      <c r="E145" s="26">
        <v>5</v>
      </c>
      <c r="F145" s="26">
        <v>3</v>
      </c>
      <c r="G145" s="5">
        <f t="shared" si="2"/>
        <v>0.26315789473684209</v>
      </c>
      <c r="H145" s="20" t="s">
        <v>113</v>
      </c>
      <c r="I145" s="21" t="s">
        <v>113</v>
      </c>
      <c r="J145" s="39">
        <v>4</v>
      </c>
      <c r="K145" s="40">
        <v>2.13</v>
      </c>
      <c r="L145" s="34">
        <v>3</v>
      </c>
      <c r="M145" s="32">
        <v>2.13</v>
      </c>
      <c r="N145" s="8">
        <v>0.06</v>
      </c>
      <c r="O145" s="33" t="s">
        <v>109</v>
      </c>
      <c r="P145" s="43">
        <v>2.13</v>
      </c>
      <c r="Q145" s="44">
        <v>0.06</v>
      </c>
      <c r="R145" s="40" t="s">
        <v>112</v>
      </c>
      <c r="S145" s="40" t="s">
        <v>109</v>
      </c>
      <c r="T145" s="40" t="s">
        <v>109</v>
      </c>
      <c r="U145" s="11">
        <v>958.93</v>
      </c>
      <c r="V145" s="7">
        <v>8.3000000000000007</v>
      </c>
      <c r="W145" s="8" t="s">
        <v>109</v>
      </c>
      <c r="X145" s="8" t="s">
        <v>109</v>
      </c>
      <c r="Y145" s="10" t="s">
        <v>109</v>
      </c>
    </row>
    <row r="146" spans="1:25" ht="14.25" thickBot="1" x14ac:dyDescent="0.35">
      <c r="A146" s="27" t="s">
        <v>37</v>
      </c>
      <c r="B146" s="28" t="s">
        <v>48</v>
      </c>
      <c r="C146" s="29" t="s">
        <v>75</v>
      </c>
      <c r="D146" s="30">
        <v>20</v>
      </c>
      <c r="E146" s="31">
        <v>11</v>
      </c>
      <c r="F146" s="31">
        <v>2</v>
      </c>
      <c r="G146" s="36">
        <f t="shared" si="2"/>
        <v>0.55000000000000004</v>
      </c>
      <c r="H146" s="36" t="s">
        <v>113</v>
      </c>
      <c r="I146" s="36" t="s">
        <v>113</v>
      </c>
      <c r="J146" s="41" t="s">
        <v>82</v>
      </c>
      <c r="K146" s="42" t="s">
        <v>101</v>
      </c>
      <c r="L146" s="35">
        <v>9</v>
      </c>
      <c r="M146" s="37">
        <v>5.55</v>
      </c>
      <c r="N146" s="9">
        <v>1.23</v>
      </c>
      <c r="O146" s="38">
        <v>6.42</v>
      </c>
      <c r="P146" s="45">
        <v>5.8</v>
      </c>
      <c r="Q146" s="46" t="s">
        <v>111</v>
      </c>
      <c r="R146" s="46" t="s">
        <v>111</v>
      </c>
      <c r="S146" s="46" t="s">
        <v>111</v>
      </c>
      <c r="T146" s="42" t="s">
        <v>108</v>
      </c>
      <c r="U146" s="12">
        <v>916.38</v>
      </c>
      <c r="V146" s="15" t="s">
        <v>108</v>
      </c>
      <c r="W146" s="9" t="s">
        <v>108</v>
      </c>
      <c r="X146" s="9" t="s">
        <v>108</v>
      </c>
      <c r="Y146" s="13" t="s">
        <v>108</v>
      </c>
    </row>
    <row r="147" spans="1:25" x14ac:dyDescent="0.3">
      <c r="P147" s="4"/>
      <c r="Q147" s="4"/>
      <c r="R147" s="4"/>
      <c r="S147" s="4"/>
      <c r="T147" s="4"/>
    </row>
  </sheetData>
  <autoFilter ref="A13:Y146" xr:uid="{2A14A4A4-BA9D-4033-A018-E34710D2E4D8}"/>
  <mergeCells count="15">
    <mergeCell ref="A1:Y1"/>
    <mergeCell ref="U11:Y12"/>
    <mergeCell ref="E11:E13"/>
    <mergeCell ref="H11:H13"/>
    <mergeCell ref="F11:F13"/>
    <mergeCell ref="G11:G13"/>
    <mergeCell ref="J11:T11"/>
    <mergeCell ref="P12:T12"/>
    <mergeCell ref="L12:O12"/>
    <mergeCell ref="I11:I13"/>
    <mergeCell ref="J12:K12"/>
    <mergeCell ref="A11:A13"/>
    <mergeCell ref="B11:B13"/>
    <mergeCell ref="C11:C13"/>
    <mergeCell ref="D11:D13"/>
  </mergeCells>
  <phoneticPr fontId="3" type="noConversion"/>
  <pageMargins left="0.23622047244094491" right="0.23622047244094491" top="0.74803149606299213" bottom="0.74803149606299213" header="0.31496062992125984" footer="0.31496062992125984"/>
  <pageSetup paperSize="12" scale="4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수시모집-학생부종합전형</vt:lpstr>
      <vt:lpstr>'수시모집-학생부종합전형'!Print_Area</vt:lpstr>
      <vt:lpstr>'수시모집-학생부종합전형'!Print_Titles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영임</cp:lastModifiedBy>
  <cp:lastPrinted>2025-03-27T12:56:00Z</cp:lastPrinted>
  <dcterms:created xsi:type="dcterms:W3CDTF">2025-03-13T11:29:08Z</dcterms:created>
  <dcterms:modified xsi:type="dcterms:W3CDTF">2026-04-29T00:37:14Z</dcterms:modified>
</cp:coreProperties>
</file>