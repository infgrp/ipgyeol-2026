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영임\입학과\작성 및 검토\2026 입시 결과 자료\"/>
    </mc:Choice>
  </mc:AlternateContent>
  <xr:revisionPtr revIDLastSave="0" documentId="13_ncr:1_{90142A3B-BDC6-4CFC-8E43-BB1ABFF089C1}" xr6:coauthVersionLast="47" xr6:coauthVersionMax="47" xr10:uidLastSave="{00000000-0000-0000-0000-000000000000}"/>
  <bookViews>
    <workbookView xWindow="28680" yWindow="-120" windowWidth="29040" windowHeight="15720" xr2:uid="{A2130B39-3B29-438D-8379-EB9A02A4A6E7}"/>
  </bookViews>
  <sheets>
    <sheet name="정시모집-모든 전형" sheetId="3" r:id="rId1"/>
  </sheets>
  <definedNames>
    <definedName name="_xlnm._FilterDatabase" localSheetId="0" hidden="1">'정시모집-모든 전형'!$A$13:$AR$59</definedName>
    <definedName name="총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3" l="1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</authors>
  <commentList>
    <comment ref="N12" authorId="0" shapeId="0" xr:uid="{D91C1C4B-ED19-4829-BAD4-8C38F954D3E6}">
      <text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 xml:space="preserve">1, </t>
        </r>
        <r>
          <rPr>
            <b/>
            <sz val="9"/>
            <color indexed="81"/>
            <rFont val="돋움"/>
            <family val="3"/>
            <charset val="129"/>
          </rPr>
          <t>탐구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돋움"/>
            <family val="3"/>
            <charset val="129"/>
          </rPr>
          <t>변환표준점수의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평균
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간호학과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공학계열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·</t>
        </r>
        <r>
          <rPr>
            <sz val="9"/>
            <color indexed="81"/>
            <rFont val="Tahoma"/>
            <family val="2"/>
          </rPr>
          <t xml:space="preserve">2, </t>
        </r>
        <r>
          <rPr>
            <sz val="9"/>
            <color indexed="81"/>
            <rFont val="돋움"/>
            <family val="3"/>
            <charset val="129"/>
          </rPr>
          <t>농업생명과학계열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스마트팜학과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자연과학계열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·</t>
        </r>
        <r>
          <rPr>
            <sz val="9"/>
            <color indexed="81"/>
            <rFont val="Tahoma"/>
            <family val="2"/>
          </rPr>
          <t xml:space="preserve">2, </t>
        </r>
        <r>
          <rPr>
            <sz val="9"/>
            <color indexed="81"/>
            <rFont val="돋움"/>
            <family val="3"/>
            <charset val="129"/>
          </rPr>
          <t>국제이공학부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이차전지공학과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첨단방위산업학과의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과탐응시자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변환표준점수</t>
        </r>
      </text>
    </comment>
  </commentList>
</comments>
</file>

<file path=xl/sharedStrings.xml><?xml version="1.0" encoding="utf-8"?>
<sst xmlns="http://schemas.openxmlformats.org/spreadsheetml/2006/main" count="673" uniqueCount="122">
  <si>
    <t>대학명</t>
  </si>
  <si>
    <t>모집단위명</t>
  </si>
  <si>
    <t>지원
인원</t>
  </si>
  <si>
    <t>경쟁률</t>
    <phoneticPr fontId="3" type="noConversion"/>
  </si>
  <si>
    <t>등록
인원</t>
  </si>
  <si>
    <t>평균</t>
    <phoneticPr fontId="3" type="noConversion"/>
  </si>
  <si>
    <t>전형구분</t>
  </si>
  <si>
    <t>간호대학</t>
  </si>
  <si>
    <t>간호학과</t>
  </si>
  <si>
    <t>공과대학</t>
  </si>
  <si>
    <t>공학계열1</t>
  </si>
  <si>
    <t>농업생명과학대학</t>
  </si>
  <si>
    <t>공학계열2</t>
  </si>
  <si>
    <t>사범대학</t>
  </si>
  <si>
    <t>공학계열1(소프트웨어공학과)</t>
  </si>
  <si>
    <t>사회과학대학</t>
  </si>
  <si>
    <t>공학계열1(융합기술공학부[IT융합기전공학])</t>
  </si>
  <si>
    <t>경상대학</t>
  </si>
  <si>
    <t>농업생명과학계열</t>
  </si>
  <si>
    <t>생활과학대학</t>
  </si>
  <si>
    <t>농업생명과학계열(산림환경과학과)</t>
  </si>
  <si>
    <t>수의과대학</t>
  </si>
  <si>
    <t>생명자원융합학과</t>
  </si>
  <si>
    <t>약학대학</t>
  </si>
  <si>
    <t>스마트팜학과</t>
  </si>
  <si>
    <t>예술대학</t>
  </si>
  <si>
    <t>교육학과</t>
  </si>
  <si>
    <t>의과대학</t>
  </si>
  <si>
    <t>국어교육과</t>
  </si>
  <si>
    <t>인문대학</t>
  </si>
  <si>
    <t>독어교육과</t>
  </si>
  <si>
    <t>자연과학대학</t>
  </si>
  <si>
    <t>영어교육과</t>
  </si>
  <si>
    <t>치과대학</t>
  </si>
  <si>
    <t>사회과교육학부</t>
  </si>
  <si>
    <t>환경생명자원대학</t>
  </si>
  <si>
    <t>과학교육학부</t>
  </si>
  <si>
    <t>본부</t>
  </si>
  <si>
    <t>수학교육과</t>
  </si>
  <si>
    <t>체육교육과</t>
  </si>
  <si>
    <t>사회과학계열</t>
  </si>
  <si>
    <t>경상계열</t>
  </si>
  <si>
    <t>생활과학계열</t>
  </si>
  <si>
    <t>수의예과</t>
  </si>
  <si>
    <t>약학과</t>
  </si>
  <si>
    <t>무용학과(발레/무용교육크리에이터)</t>
  </si>
  <si>
    <t>무용학과(한국무용)</t>
  </si>
  <si>
    <t>음악과(현악)</t>
  </si>
  <si>
    <t>한국음악학과(관악)</t>
  </si>
  <si>
    <t>의예과</t>
  </si>
  <si>
    <t>사학과</t>
  </si>
  <si>
    <t>영어영문학과</t>
  </si>
  <si>
    <t>철학과</t>
  </si>
  <si>
    <t>인문계열</t>
  </si>
  <si>
    <t>자연과학계열1</t>
  </si>
  <si>
    <t>자연과학계열2</t>
  </si>
  <si>
    <t>스포츠과학과</t>
  </si>
  <si>
    <t>치의예과</t>
  </si>
  <si>
    <t>환경생명자원계열</t>
  </si>
  <si>
    <t>융합자율전공학부1</t>
  </si>
  <si>
    <t>융합자율전공학부2</t>
  </si>
  <si>
    <t>만점</t>
    <phoneticPr fontId="3" type="noConversion"/>
  </si>
  <si>
    <t>국어</t>
    <phoneticPr fontId="1" type="noConversion"/>
  </si>
  <si>
    <t>수학</t>
    <phoneticPr fontId="1" type="noConversion"/>
  </si>
  <si>
    <t>탐구</t>
    <phoneticPr fontId="3" type="noConversion"/>
  </si>
  <si>
    <t>국어</t>
    <phoneticPr fontId="3" type="noConversion"/>
  </si>
  <si>
    <t>수학</t>
    <phoneticPr fontId="3" type="noConversion"/>
  </si>
  <si>
    <t>영어</t>
    <phoneticPr fontId="1" type="noConversion"/>
  </si>
  <si>
    <t>한국사</t>
    <phoneticPr fontId="3" type="noConversion"/>
  </si>
  <si>
    <t>※ 등록인원이 1명 이하인 모집단위 성적은 공개하지 않음</t>
    <phoneticPr fontId="1" type="noConversion"/>
  </si>
  <si>
    <t>※ 등록인원이 2명인 모집단위 성적은 평균에 한해 공개, 등록인원이 3명인 모집단위는 평균 및 편차에 한해 공개</t>
    <phoneticPr fontId="1" type="noConversion"/>
  </si>
  <si>
    <t>1명 이하</t>
    <phoneticPr fontId="1" type="noConversion"/>
  </si>
  <si>
    <t>50% cut</t>
    <phoneticPr fontId="3" type="noConversion"/>
  </si>
  <si>
    <t>70% cut</t>
    <phoneticPr fontId="3" type="noConversion"/>
  </si>
  <si>
    <t>최초
(A)</t>
    <phoneticPr fontId="1" type="noConversion"/>
  </si>
  <si>
    <t>이월
(B)</t>
    <phoneticPr fontId="1" type="noConversion"/>
  </si>
  <si>
    <t>최종
(A+B)</t>
    <phoneticPr fontId="1" type="noConversion"/>
  </si>
  <si>
    <t>모집인원</t>
    <phoneticPr fontId="1" type="noConversion"/>
  </si>
  <si>
    <t>영역별 평균</t>
    <phoneticPr fontId="1" type="noConversion"/>
  </si>
  <si>
    <t>표준편차</t>
    <phoneticPr fontId="3" type="noConversion"/>
  </si>
  <si>
    <t>전형 총점</t>
    <phoneticPr fontId="3" type="noConversion"/>
  </si>
  <si>
    <t>※ 입시결과는 최종등록자 기준임</t>
    <phoneticPr fontId="1" type="noConversion"/>
  </si>
  <si>
    <t>※ 충원합격 순위: 마지막 충원 합격자의 후보순위(최초합격 발표 기준 후보순위), 충원합격 등록인원: 등록인원 중 충원합격한 인원 수</t>
    <phoneticPr fontId="1" type="noConversion"/>
  </si>
  <si>
    <t>1명 이하</t>
  </si>
  <si>
    <t>※ 50%/70%/85% cut: 100명 중 50등, 70등, 85등의 점수(소수점인 경우 버림 등수, 4명*0.7=2.8의 경우 2등의 점수)</t>
  </si>
  <si>
    <t>이차전지공학과</t>
  </si>
  <si>
    <t>첨단방위산업학과</t>
  </si>
  <si>
    <t>85% cut</t>
    <phoneticPr fontId="3" type="noConversion"/>
  </si>
  <si>
    <t>0명</t>
  </si>
  <si>
    <t>0명</t>
    <phoneticPr fontId="1" type="noConversion"/>
  </si>
  <si>
    <t>2026학년도 전북대학교 정시모집 입시 결과</t>
    <phoneticPr fontId="2" type="noConversion"/>
  </si>
  <si>
    <t>정시(가)일반학생</t>
  </si>
  <si>
    <t>정시(나)일반학생</t>
  </si>
  <si>
    <t>정시(가)지역인재2유형</t>
  </si>
  <si>
    <t>정시(나)지역인재2유형</t>
  </si>
  <si>
    <t>정시(나)일반학생(예체능실기)</t>
  </si>
  <si>
    <t>정시(가)지역인재기회균형</t>
  </si>
  <si>
    <t>정시(나)지역인재기회균형</t>
  </si>
  <si>
    <t>정시(가)기회균형선발</t>
  </si>
  <si>
    <t>정시(가)특성화고졸재직자</t>
  </si>
  <si>
    <t>정시(나)특성화고졸재직자</t>
  </si>
  <si>
    <t>정시(나)만학도</t>
  </si>
  <si>
    <t>실기점수</t>
    <phoneticPr fontId="1" type="noConversion"/>
  </si>
  <si>
    <t>미반영</t>
  </si>
  <si>
    <t>미반영</t>
    <phoneticPr fontId="1" type="noConversion"/>
  </si>
  <si>
    <t>영역별 50% cut</t>
    <phoneticPr fontId="1" type="noConversion"/>
  </si>
  <si>
    <t>영역별 70% cut</t>
    <phoneticPr fontId="1" type="noConversion"/>
  </si>
  <si>
    <t>영역별 85% cut</t>
    <phoneticPr fontId="1" type="noConversion"/>
  </si>
  <si>
    <r>
      <t>수능 표준점수</t>
    </r>
    <r>
      <rPr>
        <b/>
        <sz val="8"/>
        <rFont val="맑은 고딕"/>
        <family val="3"/>
        <charset val="129"/>
        <scheme val="minor"/>
      </rPr>
      <t>(영역별 표준점수 순위 기준)</t>
    </r>
    <phoneticPr fontId="1" type="noConversion"/>
  </si>
  <si>
    <t>국·수·탐 
평균</t>
    <phoneticPr fontId="1" type="noConversion"/>
  </si>
  <si>
    <t>수능 환산점수</t>
    <phoneticPr fontId="3" type="noConversion"/>
  </si>
  <si>
    <t>충원
합격
순위</t>
    <phoneticPr fontId="3" type="noConversion"/>
  </si>
  <si>
    <t>충원
합격
등록
인원</t>
    <phoneticPr fontId="3" type="noConversion"/>
  </si>
  <si>
    <r>
      <t xml:space="preserve">수능 백분위
</t>
    </r>
    <r>
      <rPr>
        <b/>
        <sz val="8"/>
        <rFont val="맑은 고딕"/>
        <family val="3"/>
        <charset val="129"/>
        <scheme val="minor"/>
      </rPr>
      <t>(영역별 평균)</t>
    </r>
    <phoneticPr fontId="1" type="noConversion"/>
  </si>
  <si>
    <r>
      <t xml:space="preserve">수능 등급
</t>
    </r>
    <r>
      <rPr>
        <b/>
        <sz val="8"/>
        <rFont val="맑은 고딕"/>
        <family val="3"/>
        <charset val="129"/>
        <scheme val="minor"/>
      </rPr>
      <t>(영역별 평균)</t>
    </r>
    <phoneticPr fontId="1" type="noConversion"/>
  </si>
  <si>
    <t>※ 탐구영역은 탐구1과 탐구2의 평균값을 활용함</t>
    <phoneticPr fontId="1" type="noConversion"/>
  </si>
  <si>
    <t>2명 이하</t>
  </si>
  <si>
    <t>2명 이하</t>
    <phoneticPr fontId="1" type="noConversion"/>
  </si>
  <si>
    <t>3명 이하</t>
  </si>
  <si>
    <t>3명 이하</t>
    <phoneticPr fontId="1" type="noConversion"/>
  </si>
  <si>
    <t>※ 50%/70%/85% cut 산출 시 지표별로 순위를 재산정함(수능환산점수 기준 순위와 각 영역별 표준점수 기준 순위는 서로 다를 수 있음)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</si>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</sst>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&quot; :1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굴림"/>
      <family val="3"/>
      <charset val="129"/>
    </font>
    <font>
      <b/>
      <sz val="10"/>
      <name val="맑은 고딕"/>
      <family val="3"/>
      <charset val="129"/>
    </font>
    <font>
      <sz val="10"/>
      <color indexed="63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HY헤드라인M"/>
      <family val="1"/>
      <charset val="129"/>
    </font>
    <font>
      <b/>
      <sz val="10"/>
      <color indexed="8"/>
      <name val="굴림"/>
      <family val="3"/>
      <charset val="129"/>
    </font>
    <font>
      <sz val="28"/>
      <color theme="0"/>
      <name val="HY헤드라인M"/>
      <family val="3"/>
      <charset val="129"/>
    </font>
    <font>
      <b/>
      <sz val="8"/>
      <name val="맑은 고딕"/>
      <family val="3"/>
      <charset val="129"/>
      <scheme val="minor"/>
    </font>
    <font>
      <sz val="11"/>
      <color theme="3" tint="-0.499984740745262"/>
      <name val="맑은 고딕"/>
      <family val="3"/>
      <charset val="129"/>
      <scheme val="major"/>
    </font>
    <font>
      <sz val="11"/>
      <color rgb="FF0016E6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10" fillId="0" borderId="0" xfId="0" applyFont="1">
      <alignment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0" fillId="0" borderId="22" xfId="0" applyFont="1" applyBorder="1" applyAlignment="1">
      <alignment horizontal="right" vertical="center"/>
    </xf>
    <xf numFmtId="0" fontId="10" fillId="0" borderId="23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2" fontId="10" fillId="0" borderId="23" xfId="0" applyNumberFormat="1" applyFont="1" applyFill="1" applyBorder="1" applyAlignment="1">
      <alignment horizontal="right" vertical="center"/>
    </xf>
    <xf numFmtId="2" fontId="10" fillId="0" borderId="35" xfId="0" applyNumberFormat="1" applyFont="1" applyFill="1" applyBorder="1" applyAlignment="1">
      <alignment horizontal="right" vertical="center"/>
    </xf>
    <xf numFmtId="2" fontId="10" fillId="0" borderId="38" xfId="0" applyNumberFormat="1" applyFont="1" applyFill="1" applyBorder="1" applyAlignment="1">
      <alignment horizontal="righ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28" xfId="0" applyFont="1" applyFill="1" applyBorder="1" applyAlignment="1">
      <alignment horizontal="left" vertical="center"/>
    </xf>
    <xf numFmtId="177" fontId="10" fillId="0" borderId="23" xfId="0" applyNumberFormat="1" applyFont="1" applyFill="1" applyBorder="1" applyAlignment="1">
      <alignment horizontal="right" vertical="center"/>
    </xf>
    <xf numFmtId="0" fontId="10" fillId="0" borderId="23" xfId="0" applyFont="1" applyFill="1" applyBorder="1" applyAlignment="1">
      <alignment horizontal="right" vertical="center"/>
    </xf>
    <xf numFmtId="0" fontId="10" fillId="0" borderId="40" xfId="0" applyFont="1" applyFill="1" applyBorder="1" applyAlignment="1">
      <alignment horizontal="right" vertical="center"/>
    </xf>
    <xf numFmtId="1" fontId="10" fillId="0" borderId="33" xfId="0" applyNumberFormat="1" applyFont="1" applyFill="1" applyBorder="1" applyAlignment="1">
      <alignment horizontal="right" vertical="center"/>
    </xf>
    <xf numFmtId="1" fontId="10" fillId="0" borderId="23" xfId="0" applyNumberFormat="1" applyFont="1" applyFill="1" applyBorder="1" applyAlignment="1">
      <alignment horizontal="right" vertical="center"/>
    </xf>
    <xf numFmtId="0" fontId="10" fillId="0" borderId="44" xfId="0" applyFont="1" applyFill="1" applyBorder="1" applyAlignment="1">
      <alignment horizontal="right" vertical="center"/>
    </xf>
    <xf numFmtId="1" fontId="10" fillId="0" borderId="22" xfId="0" applyNumberFormat="1" applyFont="1" applyFill="1" applyBorder="1" applyAlignment="1">
      <alignment horizontal="right" vertical="center"/>
    </xf>
    <xf numFmtId="0" fontId="10" fillId="0" borderId="36" xfId="0" applyFont="1" applyFill="1" applyBorder="1" applyAlignment="1">
      <alignment horizontal="right" vertical="center"/>
    </xf>
    <xf numFmtId="1" fontId="10" fillId="0" borderId="32" xfId="0" applyNumberFormat="1" applyFont="1" applyFill="1" applyBorder="1" applyAlignment="1">
      <alignment horizontal="right" vertical="center"/>
    </xf>
    <xf numFmtId="1" fontId="10" fillId="0" borderId="34" xfId="0" applyNumberFormat="1" applyFont="1" applyFill="1" applyBorder="1" applyAlignment="1">
      <alignment horizontal="right" vertical="center"/>
    </xf>
    <xf numFmtId="1" fontId="10" fillId="0" borderId="28" xfId="0" applyNumberFormat="1" applyFont="1" applyFill="1" applyBorder="1" applyAlignment="1">
      <alignment horizontal="right" vertical="center"/>
    </xf>
    <xf numFmtId="3" fontId="10" fillId="0" borderId="36" xfId="0" applyNumberFormat="1" applyFont="1" applyFill="1" applyBorder="1" applyAlignment="1">
      <alignment horizontal="right" vertical="center"/>
    </xf>
    <xf numFmtId="1" fontId="10" fillId="0" borderId="36" xfId="0" applyNumberFormat="1" applyFont="1" applyFill="1" applyBorder="1" applyAlignment="1">
      <alignment horizontal="right" vertical="center"/>
    </xf>
    <xf numFmtId="1" fontId="10" fillId="0" borderId="39" xfId="0" applyNumberFormat="1" applyFont="1" applyFill="1" applyBorder="1" applyAlignment="1">
      <alignment horizontal="righ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5" fillId="6" borderId="27" xfId="0" applyFont="1" applyFill="1" applyBorder="1" applyAlignment="1">
      <alignment horizontal="left" vertical="center"/>
    </xf>
    <xf numFmtId="177" fontId="10" fillId="0" borderId="31" xfId="0" applyNumberFormat="1" applyFont="1" applyFill="1" applyBorder="1" applyAlignment="1">
      <alignment horizontal="right" vertical="center"/>
    </xf>
    <xf numFmtId="0" fontId="10" fillId="0" borderId="31" xfId="0" applyFont="1" applyFill="1" applyBorder="1" applyAlignment="1">
      <alignment horizontal="right" vertical="center"/>
    </xf>
    <xf numFmtId="0" fontId="10" fillId="0" borderId="43" xfId="0" applyFont="1" applyFill="1" applyBorder="1" applyAlignment="1">
      <alignment horizontal="right" vertical="center"/>
    </xf>
    <xf numFmtId="1" fontId="10" fillId="0" borderId="37" xfId="0" applyNumberFormat="1" applyFont="1" applyFill="1" applyBorder="1" applyAlignment="1">
      <alignment horizontal="right" vertical="center"/>
    </xf>
    <xf numFmtId="1" fontId="10" fillId="0" borderId="47" xfId="0" applyNumberFormat="1" applyFont="1" applyFill="1" applyBorder="1" applyAlignment="1">
      <alignment horizontal="right" vertical="center"/>
    </xf>
    <xf numFmtId="2" fontId="10" fillId="0" borderId="52" xfId="0" applyNumberFormat="1" applyFont="1" applyFill="1" applyBorder="1" applyAlignment="1">
      <alignment horizontal="right" vertical="center"/>
    </xf>
    <xf numFmtId="2" fontId="10" fillId="8" borderId="23" xfId="0" applyNumberFormat="1" applyFont="1" applyFill="1" applyBorder="1" applyAlignment="1">
      <alignment horizontal="right" vertical="center"/>
    </xf>
    <xf numFmtId="2" fontId="10" fillId="8" borderId="32" xfId="0" applyNumberFormat="1" applyFont="1" applyFill="1" applyBorder="1" applyAlignment="1">
      <alignment horizontal="right" vertical="center"/>
    </xf>
    <xf numFmtId="2" fontId="10" fillId="8" borderId="35" xfId="0" applyNumberFormat="1" applyFont="1" applyFill="1" applyBorder="1" applyAlignment="1">
      <alignment horizontal="right" vertical="center"/>
    </xf>
    <xf numFmtId="1" fontId="10" fillId="8" borderId="32" xfId="0" applyNumberFormat="1" applyFont="1" applyFill="1" applyBorder="1" applyAlignment="1">
      <alignment horizontal="right" vertical="center"/>
    </xf>
    <xf numFmtId="1" fontId="10" fillId="8" borderId="22" xfId="0" applyNumberFormat="1" applyFont="1" applyFill="1" applyBorder="1" applyAlignment="1">
      <alignment horizontal="right" vertical="center"/>
    </xf>
    <xf numFmtId="1" fontId="10" fillId="8" borderId="33" xfId="0" applyNumberFormat="1" applyFont="1" applyFill="1" applyBorder="1" applyAlignment="1">
      <alignment horizontal="right" vertical="center"/>
    </xf>
    <xf numFmtId="1" fontId="10" fillId="8" borderId="36" xfId="0" applyNumberFormat="1" applyFont="1" applyFill="1" applyBorder="1" applyAlignment="1">
      <alignment horizontal="right" vertical="center"/>
    </xf>
    <xf numFmtId="1" fontId="10" fillId="8" borderId="34" xfId="0" applyNumberFormat="1" applyFont="1" applyFill="1" applyBorder="1" applyAlignment="1">
      <alignment horizontal="right" vertical="center"/>
    </xf>
    <xf numFmtId="1" fontId="10" fillId="8" borderId="28" xfId="0" applyNumberFormat="1" applyFont="1" applyFill="1" applyBorder="1" applyAlignment="1">
      <alignment horizontal="right" vertical="center"/>
    </xf>
    <xf numFmtId="1" fontId="10" fillId="8" borderId="37" xfId="0" applyNumberFormat="1" applyFont="1" applyFill="1" applyBorder="1" applyAlignment="1">
      <alignment horizontal="right" vertical="center"/>
    </xf>
    <xf numFmtId="1" fontId="10" fillId="8" borderId="23" xfId="0" applyNumberFormat="1" applyFont="1" applyFill="1" applyBorder="1" applyAlignment="1">
      <alignment horizontal="right" vertical="center"/>
    </xf>
    <xf numFmtId="1" fontId="10" fillId="8" borderId="39" xfId="0" applyNumberFormat="1" applyFont="1" applyFill="1" applyBorder="1" applyAlignment="1">
      <alignment horizontal="right" vertical="center"/>
    </xf>
    <xf numFmtId="1" fontId="10" fillId="8" borderId="47" xfId="0" applyNumberFormat="1" applyFont="1" applyFill="1" applyBorder="1" applyAlignment="1">
      <alignment horizontal="right" vertical="center"/>
    </xf>
    <xf numFmtId="0" fontId="16" fillId="7" borderId="0" xfId="0" applyFont="1" applyFill="1" applyAlignment="1">
      <alignment vertical="center"/>
    </xf>
    <xf numFmtId="0" fontId="16" fillId="7" borderId="0" xfId="0" applyFont="1" applyFill="1" applyBorder="1" applyAlignment="1">
      <alignment vertical="center"/>
    </xf>
    <xf numFmtId="2" fontId="10" fillId="0" borderId="32" xfId="0" applyNumberFormat="1" applyFont="1" applyFill="1" applyBorder="1" applyAlignment="1">
      <alignment horizontal="right" vertical="center"/>
    </xf>
    <xf numFmtId="3" fontId="10" fillId="0" borderId="37" xfId="0" applyNumberFormat="1" applyFont="1" applyFill="1" applyBorder="1" applyAlignment="1">
      <alignment horizontal="right" vertical="center"/>
    </xf>
    <xf numFmtId="2" fontId="10" fillId="9" borderId="46" xfId="0" applyNumberFormat="1" applyFont="1" applyFill="1" applyBorder="1" applyAlignment="1">
      <alignment horizontal="right" vertical="center"/>
    </xf>
    <xf numFmtId="2" fontId="10" fillId="9" borderId="40" xfId="0" applyNumberFormat="1" applyFont="1" applyFill="1" applyBorder="1" applyAlignment="1">
      <alignment horizontal="right" vertical="center"/>
    </xf>
    <xf numFmtId="2" fontId="10" fillId="9" borderId="23" xfId="0" applyNumberFormat="1" applyFont="1" applyFill="1" applyBorder="1" applyAlignment="1">
      <alignment horizontal="right" vertical="center"/>
    </xf>
    <xf numFmtId="2" fontId="10" fillId="9" borderId="41" xfId="0" applyNumberFormat="1" applyFont="1" applyFill="1" applyBorder="1" applyAlignment="1">
      <alignment horizontal="right" vertical="center"/>
    </xf>
    <xf numFmtId="2" fontId="10" fillId="9" borderId="38" xfId="0" applyNumberFormat="1" applyFont="1" applyFill="1" applyBorder="1" applyAlignment="1">
      <alignment horizontal="right" vertical="center"/>
    </xf>
    <xf numFmtId="0" fontId="10" fillId="9" borderId="44" xfId="0" applyFont="1" applyFill="1" applyBorder="1" applyAlignment="1">
      <alignment horizontal="right" vertical="center"/>
    </xf>
    <xf numFmtId="0" fontId="10" fillId="9" borderId="36" xfId="0" applyFont="1" applyFill="1" applyBorder="1" applyAlignment="1">
      <alignment horizontal="right" vertical="center"/>
    </xf>
    <xf numFmtId="2" fontId="10" fillId="9" borderId="39" xfId="0" applyNumberFormat="1" applyFont="1" applyFill="1" applyBorder="1" applyAlignment="1">
      <alignment horizontal="right" vertical="center"/>
    </xf>
    <xf numFmtId="2" fontId="10" fillId="9" borderId="22" xfId="0" applyNumberFormat="1" applyFont="1" applyFill="1" applyBorder="1" applyAlignment="1">
      <alignment horizontal="right" vertical="center"/>
    </xf>
    <xf numFmtId="2" fontId="10" fillId="9" borderId="47" xfId="0" applyNumberFormat="1" applyFont="1" applyFill="1" applyBorder="1" applyAlignment="1">
      <alignment horizontal="right" vertical="center"/>
    </xf>
    <xf numFmtId="2" fontId="10" fillId="9" borderId="28" xfId="0" applyNumberFormat="1" applyFont="1" applyFill="1" applyBorder="1" applyAlignment="1">
      <alignment horizontal="right" vertical="center"/>
    </xf>
    <xf numFmtId="2" fontId="10" fillId="9" borderId="42" xfId="0" applyNumberFormat="1" applyFont="1" applyFill="1" applyBorder="1" applyAlignment="1">
      <alignment horizontal="right" vertical="center"/>
    </xf>
    <xf numFmtId="0" fontId="10" fillId="9" borderId="37" xfId="0" applyFont="1" applyFill="1" applyBorder="1" applyAlignment="1">
      <alignment horizontal="right" vertical="center"/>
    </xf>
    <xf numFmtId="0" fontId="10" fillId="9" borderId="45" xfId="0" applyFont="1" applyFill="1" applyBorder="1" applyAlignment="1">
      <alignment horizontal="right" vertical="center"/>
    </xf>
    <xf numFmtId="0" fontId="10" fillId="9" borderId="26" xfId="0" applyFont="1" applyFill="1" applyBorder="1" applyAlignment="1">
      <alignment horizontal="right" vertical="center"/>
    </xf>
    <xf numFmtId="3" fontId="10" fillId="9" borderId="26" xfId="0" applyNumberFormat="1" applyFont="1" applyFill="1" applyBorder="1" applyAlignment="1">
      <alignment horizontal="right" vertical="center"/>
    </xf>
    <xf numFmtId="2" fontId="10" fillId="9" borderId="52" xfId="0" applyNumberFormat="1" applyFont="1" applyFill="1" applyBorder="1" applyAlignment="1">
      <alignment horizontal="right" vertical="center"/>
    </xf>
    <xf numFmtId="3" fontId="10" fillId="9" borderId="29" xfId="0" applyNumberFormat="1" applyFont="1" applyFill="1" applyBorder="1" applyAlignment="1">
      <alignment horizontal="right" vertical="center"/>
    </xf>
    <xf numFmtId="0" fontId="17" fillId="7" borderId="0" xfId="0" applyFont="1" applyFill="1" applyAlignment="1">
      <alignment vertical="center"/>
    </xf>
    <xf numFmtId="2" fontId="10" fillId="9" borderId="43" xfId="0" applyNumberFormat="1" applyFont="1" applyFill="1" applyBorder="1" applyAlignment="1">
      <alignment horizontal="right" vertical="center"/>
    </xf>
    <xf numFmtId="2" fontId="10" fillId="9" borderId="31" xfId="0" applyNumberFormat="1" applyFont="1" applyFill="1" applyBorder="1" applyAlignment="1">
      <alignment horizontal="right" vertical="center"/>
    </xf>
    <xf numFmtId="2" fontId="10" fillId="9" borderId="54" xfId="0" applyNumberFormat="1" applyFont="1" applyFill="1" applyBorder="1" applyAlignment="1">
      <alignment horizontal="right" vertical="center"/>
    </xf>
    <xf numFmtId="2" fontId="10" fillId="9" borderId="53" xfId="0" applyNumberFormat="1" applyFont="1" applyFill="1" applyBorder="1" applyAlignment="1">
      <alignment horizontal="right" vertical="center"/>
    </xf>
    <xf numFmtId="3" fontId="5" fillId="0" borderId="55" xfId="0" applyNumberFormat="1" applyFont="1" applyBorder="1" applyAlignment="1">
      <alignment horizontal="right" vertical="center"/>
    </xf>
    <xf numFmtId="0" fontId="5" fillId="0" borderId="55" xfId="0" applyFont="1" applyBorder="1" applyAlignment="1">
      <alignment horizontal="right" vertical="center"/>
    </xf>
    <xf numFmtId="0" fontId="10" fillId="0" borderId="39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5" fillId="6" borderId="36" xfId="0" applyFont="1" applyFill="1" applyBorder="1" applyAlignment="1">
      <alignment horizontal="left" vertical="center"/>
    </xf>
    <xf numFmtId="0" fontId="5" fillId="6" borderId="37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16E6"/>
      <color rgb="FF0909FF"/>
      <color rgb="FF4145F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152400</xdr:colOff>
      <xdr:row>1</xdr:row>
      <xdr:rowOff>134243</xdr:rowOff>
    </xdr:from>
    <xdr:to>
      <xdr:col>43</xdr:col>
      <xdr:colOff>419100</xdr:colOff>
      <xdr:row>7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4B518D-83E4-4047-8D4D-4C9BE469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18125" y="896243"/>
          <a:ext cx="1428750" cy="146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0ABA-C2ED-4903-8C8B-3C0E0E6C8EB6}">
  <sheetPr>
    <tabColor theme="9"/>
    <pageSetUpPr fitToPage="1"/>
  </sheetPr>
  <dimension ref="A1:AR59"/>
  <sheetViews>
    <sheetView showGridLines="0" tabSelected="1" zoomScaleNormal="100" workbookViewId="0">
      <pane xSplit="8" ySplit="13" topLeftCell="I14" activePane="bottomRight" state="frozen"/>
      <selection pane="topRight" activeCell="J1" sqref="J1"/>
      <selection pane="bottomLeft" activeCell="A13" sqref="A13"/>
      <selection pane="bottomRight" activeCell="B20" sqref="B20"/>
    </sheetView>
  </sheetViews>
  <sheetFormatPr defaultRowHeight="13.5" x14ac:dyDescent="0.3"/>
  <cols>
    <col min="1" max="1" width="22.5" style="1" customWidth="1"/>
    <col min="2" max="2" width="15" style="1" bestFit="1" customWidth="1"/>
    <col min="3" max="3" width="32.5" style="1" customWidth="1"/>
    <col min="4" max="11" width="6.625" style="1" customWidth="1"/>
    <col min="12" max="33" width="7.125" style="1" customWidth="1"/>
    <col min="34" max="44" width="7.625" style="1" customWidth="1"/>
    <col min="45" max="16384" width="9" style="1"/>
  </cols>
  <sheetData>
    <row r="1" spans="1:44" ht="60" customHeight="1" x14ac:dyDescent="0.3">
      <c r="A1" s="83" t="s">
        <v>90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</row>
    <row r="2" spans="1:44" ht="20.100000000000001" customHeight="1" x14ac:dyDescent="0.3">
      <c r="A2" s="50" t="s">
        <v>81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</row>
    <row r="3" spans="1:44" ht="20.100000000000001" customHeight="1" x14ac:dyDescent="0.3">
      <c r="A3" s="50" t="s">
        <v>69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</row>
    <row r="4" spans="1:44" ht="20.100000000000001" customHeight="1" x14ac:dyDescent="0.3">
      <c r="A4" s="50" t="s">
        <v>70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</row>
    <row r="5" spans="1:44" ht="20.100000000000001" customHeight="1" x14ac:dyDescent="0.3">
      <c r="A5" s="49" t="s">
        <v>84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</row>
    <row r="6" spans="1:44" ht="20.100000000000001" customHeight="1" x14ac:dyDescent="0.3">
      <c r="A6" s="71" t="s">
        <v>120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</row>
    <row r="7" spans="1:44" ht="20.100000000000001" customHeight="1" x14ac:dyDescent="0.3">
      <c r="A7" s="50" t="s">
        <v>115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</row>
    <row r="8" spans="1:44" ht="20.100000000000001" customHeight="1" x14ac:dyDescent="0.3">
      <c r="A8" s="50" t="s">
        <v>82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ht="15" customHeight="1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3" customFormat="1" ht="27.75" customHeight="1" x14ac:dyDescent="0.3">
      <c r="A10" s="99" t="s">
        <v>6</v>
      </c>
      <c r="B10" s="102" t="s">
        <v>0</v>
      </c>
      <c r="C10" s="102" t="s">
        <v>1</v>
      </c>
      <c r="D10" s="113" t="s">
        <v>77</v>
      </c>
      <c r="E10" s="114"/>
      <c r="F10" s="105"/>
      <c r="G10" s="87" t="s">
        <v>2</v>
      </c>
      <c r="H10" s="87" t="s">
        <v>4</v>
      </c>
      <c r="I10" s="87" t="s">
        <v>3</v>
      </c>
      <c r="J10" s="87" t="s">
        <v>111</v>
      </c>
      <c r="K10" s="87" t="s">
        <v>112</v>
      </c>
      <c r="L10" s="122" t="s">
        <v>108</v>
      </c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89" t="s">
        <v>113</v>
      </c>
      <c r="Y10" s="93"/>
      <c r="Z10" s="93"/>
      <c r="AA10" s="94"/>
      <c r="AB10" s="89" t="s">
        <v>114</v>
      </c>
      <c r="AC10" s="115"/>
      <c r="AD10" s="115"/>
      <c r="AE10" s="115"/>
      <c r="AF10" s="115"/>
      <c r="AG10" s="120"/>
      <c r="AH10" s="89" t="s">
        <v>110</v>
      </c>
      <c r="AI10" s="115"/>
      <c r="AJ10" s="115"/>
      <c r="AK10" s="115"/>
      <c r="AL10" s="115"/>
      <c r="AM10" s="120"/>
      <c r="AN10" s="89" t="s">
        <v>102</v>
      </c>
      <c r="AO10" s="94"/>
      <c r="AP10" s="89" t="s">
        <v>80</v>
      </c>
      <c r="AQ10" s="115"/>
      <c r="AR10" s="90"/>
    </row>
    <row r="11" spans="1:44" s="3" customFormat="1" ht="27.75" customHeight="1" x14ac:dyDescent="0.3">
      <c r="A11" s="100"/>
      <c r="B11" s="103"/>
      <c r="C11" s="103"/>
      <c r="D11" s="111" t="s">
        <v>74</v>
      </c>
      <c r="E11" s="111" t="s">
        <v>75</v>
      </c>
      <c r="F11" s="111" t="s">
        <v>76</v>
      </c>
      <c r="G11" s="84"/>
      <c r="H11" s="84"/>
      <c r="I11" s="84"/>
      <c r="J11" s="84"/>
      <c r="K11" s="84"/>
      <c r="L11" s="97" t="s">
        <v>78</v>
      </c>
      <c r="M11" s="98"/>
      <c r="N11" s="112"/>
      <c r="O11" s="97" t="s">
        <v>105</v>
      </c>
      <c r="P11" s="98"/>
      <c r="Q11" s="112"/>
      <c r="R11" s="97" t="s">
        <v>106</v>
      </c>
      <c r="S11" s="98"/>
      <c r="T11" s="112"/>
      <c r="U11" s="97" t="s">
        <v>107</v>
      </c>
      <c r="V11" s="98"/>
      <c r="W11" s="112"/>
      <c r="X11" s="106"/>
      <c r="Y11" s="95"/>
      <c r="Z11" s="95"/>
      <c r="AA11" s="96"/>
      <c r="AB11" s="91"/>
      <c r="AC11" s="116"/>
      <c r="AD11" s="116"/>
      <c r="AE11" s="116"/>
      <c r="AF11" s="116"/>
      <c r="AG11" s="121"/>
      <c r="AH11" s="91"/>
      <c r="AI11" s="116"/>
      <c r="AJ11" s="116"/>
      <c r="AK11" s="116"/>
      <c r="AL11" s="116"/>
      <c r="AM11" s="121"/>
      <c r="AN11" s="106"/>
      <c r="AO11" s="96"/>
      <c r="AP11" s="91"/>
      <c r="AQ11" s="116"/>
      <c r="AR11" s="92"/>
    </row>
    <row r="12" spans="1:44" s="3" customFormat="1" ht="27.75" customHeight="1" x14ac:dyDescent="0.3">
      <c r="A12" s="100"/>
      <c r="B12" s="103"/>
      <c r="C12" s="103"/>
      <c r="D12" s="84"/>
      <c r="E12" s="84"/>
      <c r="F12" s="84"/>
      <c r="G12" s="84"/>
      <c r="H12" s="84"/>
      <c r="I12" s="84"/>
      <c r="J12" s="84"/>
      <c r="K12" s="84"/>
      <c r="L12" s="107" t="s">
        <v>62</v>
      </c>
      <c r="M12" s="109" t="s">
        <v>63</v>
      </c>
      <c r="N12" s="107" t="s">
        <v>64</v>
      </c>
      <c r="O12" s="107" t="s">
        <v>62</v>
      </c>
      <c r="P12" s="109" t="s">
        <v>63</v>
      </c>
      <c r="Q12" s="107" t="s">
        <v>64</v>
      </c>
      <c r="R12" s="107" t="s">
        <v>62</v>
      </c>
      <c r="S12" s="109" t="s">
        <v>63</v>
      </c>
      <c r="T12" s="107" t="s">
        <v>64</v>
      </c>
      <c r="U12" s="107" t="s">
        <v>62</v>
      </c>
      <c r="V12" s="109" t="s">
        <v>63</v>
      </c>
      <c r="W12" s="107" t="s">
        <v>64</v>
      </c>
      <c r="X12" s="107" t="s">
        <v>62</v>
      </c>
      <c r="Y12" s="109" t="s">
        <v>63</v>
      </c>
      <c r="Z12" s="111" t="s">
        <v>64</v>
      </c>
      <c r="AA12" s="111" t="s">
        <v>109</v>
      </c>
      <c r="AB12" s="107" t="s">
        <v>65</v>
      </c>
      <c r="AC12" s="109" t="s">
        <v>66</v>
      </c>
      <c r="AD12" s="111" t="s">
        <v>64</v>
      </c>
      <c r="AE12" s="111" t="s">
        <v>109</v>
      </c>
      <c r="AF12" s="107" t="s">
        <v>67</v>
      </c>
      <c r="AG12" s="107" t="s">
        <v>68</v>
      </c>
      <c r="AH12" s="117" t="s">
        <v>5</v>
      </c>
      <c r="AI12" s="117" t="s">
        <v>79</v>
      </c>
      <c r="AJ12" s="117" t="s">
        <v>72</v>
      </c>
      <c r="AK12" s="117" t="s">
        <v>73</v>
      </c>
      <c r="AL12" s="117" t="s">
        <v>87</v>
      </c>
      <c r="AM12" s="117" t="s">
        <v>61</v>
      </c>
      <c r="AN12" s="117" t="s">
        <v>5</v>
      </c>
      <c r="AO12" s="117" t="s">
        <v>61</v>
      </c>
      <c r="AP12" s="117" t="s">
        <v>5</v>
      </c>
      <c r="AQ12" s="117" t="s">
        <v>79</v>
      </c>
      <c r="AR12" s="118" t="s">
        <v>61</v>
      </c>
    </row>
    <row r="13" spans="1:44" s="3" customFormat="1" ht="26.25" customHeight="1" thickBot="1" x14ac:dyDescent="0.35">
      <c r="A13" s="101"/>
      <c r="B13" s="104"/>
      <c r="C13" s="104"/>
      <c r="D13" s="85"/>
      <c r="E13" s="85"/>
      <c r="F13" s="85"/>
      <c r="G13" s="88"/>
      <c r="H13" s="88"/>
      <c r="I13" s="88"/>
      <c r="J13" s="88"/>
      <c r="K13" s="88"/>
      <c r="L13" s="108"/>
      <c r="M13" s="110"/>
      <c r="N13" s="108"/>
      <c r="O13" s="108"/>
      <c r="P13" s="110"/>
      <c r="Q13" s="108"/>
      <c r="R13" s="108"/>
      <c r="S13" s="110"/>
      <c r="T13" s="108"/>
      <c r="U13" s="108"/>
      <c r="V13" s="110"/>
      <c r="W13" s="108"/>
      <c r="X13" s="108"/>
      <c r="Y13" s="110"/>
      <c r="Z13" s="108"/>
      <c r="AA13" s="108"/>
      <c r="AB13" s="108"/>
      <c r="AC13" s="110"/>
      <c r="AD13" s="108"/>
      <c r="AE13" s="108"/>
      <c r="AF13" s="108"/>
      <c r="AG13" s="108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119"/>
    </row>
    <row r="14" spans="1:44" ht="14.25" thickTop="1" x14ac:dyDescent="0.3">
      <c r="A14" s="27" t="s">
        <v>91</v>
      </c>
      <c r="B14" s="10" t="s">
        <v>17</v>
      </c>
      <c r="C14" s="82" t="s">
        <v>41</v>
      </c>
      <c r="D14" s="76">
        <v>84</v>
      </c>
      <c r="E14" s="5">
        <v>8</v>
      </c>
      <c r="F14" s="5">
        <v>92</v>
      </c>
      <c r="G14" s="5">
        <v>433</v>
      </c>
      <c r="H14" s="5">
        <v>90</v>
      </c>
      <c r="I14" s="13">
        <f>G14/F14</f>
        <v>4.7065217391304346</v>
      </c>
      <c r="J14" s="14">
        <v>46</v>
      </c>
      <c r="K14" s="15">
        <v>33</v>
      </c>
      <c r="L14" s="37">
        <v>119.07</v>
      </c>
      <c r="M14" s="36">
        <v>112.63</v>
      </c>
      <c r="N14" s="38">
        <v>59.7</v>
      </c>
      <c r="O14" s="21">
        <v>119</v>
      </c>
      <c r="P14" s="17">
        <v>114</v>
      </c>
      <c r="Q14" s="8">
        <v>59.88</v>
      </c>
      <c r="R14" s="39">
        <v>116</v>
      </c>
      <c r="S14" s="46">
        <v>110</v>
      </c>
      <c r="T14" s="38">
        <v>58.27</v>
      </c>
      <c r="U14" s="21">
        <v>113</v>
      </c>
      <c r="V14" s="17">
        <v>108</v>
      </c>
      <c r="W14" s="8">
        <v>56.27</v>
      </c>
      <c r="X14" s="53">
        <v>79.22</v>
      </c>
      <c r="Y14" s="54">
        <v>64.59</v>
      </c>
      <c r="Z14" s="55">
        <v>78.14</v>
      </c>
      <c r="AA14" s="53">
        <v>75.02</v>
      </c>
      <c r="AB14" s="51">
        <v>3.23</v>
      </c>
      <c r="AC14" s="7">
        <v>4.12</v>
      </c>
      <c r="AD14" s="7">
        <v>3.15</v>
      </c>
      <c r="AE14" s="7">
        <v>3.41</v>
      </c>
      <c r="AF14" s="7">
        <v>3.13</v>
      </c>
      <c r="AG14" s="8">
        <v>2.71</v>
      </c>
      <c r="AH14" s="57">
        <v>320.79000000000002</v>
      </c>
      <c r="AI14" s="57">
        <v>4.62</v>
      </c>
      <c r="AJ14" s="57">
        <v>319.66000000000003</v>
      </c>
      <c r="AK14" s="57">
        <v>318.14999999999998</v>
      </c>
      <c r="AL14" s="57">
        <v>317.22000000000003</v>
      </c>
      <c r="AM14" s="58">
        <v>500</v>
      </c>
      <c r="AN14" s="9" t="s">
        <v>104</v>
      </c>
      <c r="AO14" s="18" t="s">
        <v>104</v>
      </c>
      <c r="AP14" s="57">
        <v>320.79000000000002</v>
      </c>
      <c r="AQ14" s="57">
        <v>4.62</v>
      </c>
      <c r="AR14" s="66">
        <v>500</v>
      </c>
    </row>
    <row r="15" spans="1:44" x14ac:dyDescent="0.3">
      <c r="A15" s="28" t="s">
        <v>91</v>
      </c>
      <c r="B15" s="11" t="s">
        <v>11</v>
      </c>
      <c r="C15" s="80" t="s">
        <v>18</v>
      </c>
      <c r="D15" s="76">
        <v>111</v>
      </c>
      <c r="E15" s="4">
        <v>9</v>
      </c>
      <c r="F15" s="4">
        <v>120</v>
      </c>
      <c r="G15" s="4">
        <v>785</v>
      </c>
      <c r="H15" s="4">
        <v>118</v>
      </c>
      <c r="I15" s="13">
        <f t="shared" ref="I15:I59" si="0">G15/F15</f>
        <v>6.541666666666667</v>
      </c>
      <c r="J15" s="14">
        <v>51</v>
      </c>
      <c r="K15" s="15">
        <v>40</v>
      </c>
      <c r="L15" s="37">
        <v>112.1</v>
      </c>
      <c r="M15" s="36">
        <v>117.08</v>
      </c>
      <c r="N15" s="38">
        <v>58.95</v>
      </c>
      <c r="O15" s="21">
        <v>113</v>
      </c>
      <c r="P15" s="17">
        <v>118</v>
      </c>
      <c r="Q15" s="8">
        <v>58.87</v>
      </c>
      <c r="R15" s="39">
        <v>108</v>
      </c>
      <c r="S15" s="46">
        <v>115</v>
      </c>
      <c r="T15" s="38">
        <v>57.1</v>
      </c>
      <c r="U15" s="21">
        <v>104</v>
      </c>
      <c r="V15" s="17">
        <v>113</v>
      </c>
      <c r="W15" s="8">
        <v>55.75</v>
      </c>
      <c r="X15" s="53">
        <v>68.73</v>
      </c>
      <c r="Y15" s="54">
        <v>72.55</v>
      </c>
      <c r="Z15" s="55">
        <v>70.12</v>
      </c>
      <c r="AA15" s="53">
        <v>70.38</v>
      </c>
      <c r="AB15" s="51">
        <v>3.94</v>
      </c>
      <c r="AC15" s="7">
        <v>3.58</v>
      </c>
      <c r="AD15" s="7">
        <v>3.69</v>
      </c>
      <c r="AE15" s="7">
        <v>3.72</v>
      </c>
      <c r="AF15" s="7">
        <v>3.16</v>
      </c>
      <c r="AG15" s="8">
        <v>2.74</v>
      </c>
      <c r="AH15" s="57">
        <v>317.02999999999997</v>
      </c>
      <c r="AI15" s="57">
        <v>4.34</v>
      </c>
      <c r="AJ15" s="57">
        <v>315.81</v>
      </c>
      <c r="AK15" s="57">
        <v>315.14999999999998</v>
      </c>
      <c r="AL15" s="57">
        <v>314.41000000000003</v>
      </c>
      <c r="AM15" s="59">
        <v>500</v>
      </c>
      <c r="AN15" s="9" t="s">
        <v>104</v>
      </c>
      <c r="AO15" s="20" t="s">
        <v>104</v>
      </c>
      <c r="AP15" s="57">
        <v>317.02999999999997</v>
      </c>
      <c r="AQ15" s="57">
        <v>4.34</v>
      </c>
      <c r="AR15" s="67">
        <v>500</v>
      </c>
    </row>
    <row r="16" spans="1:44" x14ac:dyDescent="0.3">
      <c r="A16" s="28" t="s">
        <v>91</v>
      </c>
      <c r="B16" s="11" t="s">
        <v>11</v>
      </c>
      <c r="C16" s="80" t="s">
        <v>24</v>
      </c>
      <c r="D16" s="76">
        <v>9</v>
      </c>
      <c r="E16" s="4">
        <v>0</v>
      </c>
      <c r="F16" s="4">
        <v>9</v>
      </c>
      <c r="G16" s="4">
        <v>62</v>
      </c>
      <c r="H16" s="4">
        <v>8</v>
      </c>
      <c r="I16" s="13">
        <f t="shared" si="0"/>
        <v>6.8888888888888893</v>
      </c>
      <c r="J16" s="14">
        <v>5</v>
      </c>
      <c r="K16" s="15">
        <v>3</v>
      </c>
      <c r="L16" s="37">
        <v>111.25</v>
      </c>
      <c r="M16" s="36">
        <v>119</v>
      </c>
      <c r="N16" s="38">
        <v>59.34</v>
      </c>
      <c r="O16" s="21">
        <v>113</v>
      </c>
      <c r="P16" s="17">
        <v>118</v>
      </c>
      <c r="Q16" s="8">
        <v>60.23</v>
      </c>
      <c r="R16" s="39">
        <v>112</v>
      </c>
      <c r="S16" s="46">
        <v>118</v>
      </c>
      <c r="T16" s="38">
        <v>58.44</v>
      </c>
      <c r="U16" s="21">
        <v>110</v>
      </c>
      <c r="V16" s="17">
        <v>117</v>
      </c>
      <c r="W16" s="8">
        <v>56.67</v>
      </c>
      <c r="X16" s="53">
        <v>67.63</v>
      </c>
      <c r="Y16" s="54">
        <v>76.25</v>
      </c>
      <c r="Z16" s="55">
        <v>67.63</v>
      </c>
      <c r="AA16" s="53">
        <v>69.78</v>
      </c>
      <c r="AB16" s="51">
        <v>4</v>
      </c>
      <c r="AC16" s="7">
        <v>3.5</v>
      </c>
      <c r="AD16" s="7">
        <v>3.94</v>
      </c>
      <c r="AE16" s="7">
        <v>3.84</v>
      </c>
      <c r="AF16" s="7">
        <v>2.88</v>
      </c>
      <c r="AG16" s="8">
        <v>3.38</v>
      </c>
      <c r="AH16" s="57">
        <v>320.45</v>
      </c>
      <c r="AI16" s="57">
        <v>2.15</v>
      </c>
      <c r="AJ16" s="57">
        <v>320.83999999999997</v>
      </c>
      <c r="AK16" s="57">
        <v>320.70999999999998</v>
      </c>
      <c r="AL16" s="57">
        <v>318.76</v>
      </c>
      <c r="AM16" s="59">
        <v>500</v>
      </c>
      <c r="AN16" s="9" t="s">
        <v>104</v>
      </c>
      <c r="AO16" s="20" t="s">
        <v>104</v>
      </c>
      <c r="AP16" s="57">
        <v>320.45</v>
      </c>
      <c r="AQ16" s="57">
        <v>2.15</v>
      </c>
      <c r="AR16" s="67">
        <v>500</v>
      </c>
    </row>
    <row r="17" spans="1:44" x14ac:dyDescent="0.3">
      <c r="A17" s="28" t="s">
        <v>91</v>
      </c>
      <c r="B17" s="11" t="s">
        <v>13</v>
      </c>
      <c r="C17" s="80" t="s">
        <v>26</v>
      </c>
      <c r="D17" s="76">
        <v>4</v>
      </c>
      <c r="E17" s="4">
        <v>1</v>
      </c>
      <c r="F17" s="4">
        <v>5</v>
      </c>
      <c r="G17" s="4">
        <v>38</v>
      </c>
      <c r="H17" s="4">
        <v>5</v>
      </c>
      <c r="I17" s="13">
        <f t="shared" si="0"/>
        <v>7.6</v>
      </c>
      <c r="J17" s="14">
        <v>2</v>
      </c>
      <c r="K17" s="15">
        <v>1</v>
      </c>
      <c r="L17" s="37">
        <v>118.4</v>
      </c>
      <c r="M17" s="36">
        <v>113.8</v>
      </c>
      <c r="N17" s="38">
        <v>61.37</v>
      </c>
      <c r="O17" s="21">
        <v>128</v>
      </c>
      <c r="P17" s="17">
        <v>117</v>
      </c>
      <c r="Q17" s="8">
        <v>65.739999999999995</v>
      </c>
      <c r="R17" s="39">
        <v>119</v>
      </c>
      <c r="S17" s="46">
        <v>117</v>
      </c>
      <c r="T17" s="38">
        <v>59.66</v>
      </c>
      <c r="U17" s="21">
        <v>108</v>
      </c>
      <c r="V17" s="17">
        <v>117</v>
      </c>
      <c r="W17" s="8">
        <v>58.66</v>
      </c>
      <c r="X17" s="53">
        <v>77.2</v>
      </c>
      <c r="Y17" s="54">
        <v>67.8</v>
      </c>
      <c r="Z17" s="55">
        <v>81.599999999999994</v>
      </c>
      <c r="AA17" s="53">
        <v>77.05</v>
      </c>
      <c r="AB17" s="51">
        <v>3.2</v>
      </c>
      <c r="AC17" s="7">
        <v>4</v>
      </c>
      <c r="AD17" s="7">
        <v>2.9</v>
      </c>
      <c r="AE17" s="7">
        <v>3.25</v>
      </c>
      <c r="AF17" s="7">
        <v>3</v>
      </c>
      <c r="AG17" s="8">
        <v>3</v>
      </c>
      <c r="AH17" s="57">
        <v>324.2</v>
      </c>
      <c r="AI17" s="57">
        <v>8.19</v>
      </c>
      <c r="AJ17" s="57">
        <v>323.37</v>
      </c>
      <c r="AK17" s="57">
        <v>319.48</v>
      </c>
      <c r="AL17" s="57">
        <v>319.24</v>
      </c>
      <c r="AM17" s="59">
        <v>500</v>
      </c>
      <c r="AN17" s="9" t="s">
        <v>104</v>
      </c>
      <c r="AO17" s="20" t="s">
        <v>104</v>
      </c>
      <c r="AP17" s="57">
        <v>324.2</v>
      </c>
      <c r="AQ17" s="57">
        <v>8.19</v>
      </c>
      <c r="AR17" s="67">
        <v>500</v>
      </c>
    </row>
    <row r="18" spans="1:44" x14ac:dyDescent="0.3">
      <c r="A18" s="28" t="s">
        <v>91</v>
      </c>
      <c r="B18" s="11" t="s">
        <v>13</v>
      </c>
      <c r="C18" s="80" t="s">
        <v>28</v>
      </c>
      <c r="D18" s="76">
        <v>6</v>
      </c>
      <c r="E18" s="4">
        <v>0</v>
      </c>
      <c r="F18" s="4">
        <v>6</v>
      </c>
      <c r="G18" s="4">
        <v>34</v>
      </c>
      <c r="H18" s="4">
        <v>6</v>
      </c>
      <c r="I18" s="13">
        <f t="shared" si="0"/>
        <v>5.666666666666667</v>
      </c>
      <c r="J18" s="14">
        <v>10</v>
      </c>
      <c r="K18" s="15">
        <v>4</v>
      </c>
      <c r="L18" s="37">
        <v>125</v>
      </c>
      <c r="M18" s="36">
        <v>112</v>
      </c>
      <c r="N18" s="38">
        <v>60.25</v>
      </c>
      <c r="O18" s="21">
        <v>126</v>
      </c>
      <c r="P18" s="17">
        <v>111</v>
      </c>
      <c r="Q18" s="8">
        <v>61.54</v>
      </c>
      <c r="R18" s="39">
        <v>124</v>
      </c>
      <c r="S18" s="46">
        <v>111</v>
      </c>
      <c r="T18" s="38">
        <v>60.32</v>
      </c>
      <c r="U18" s="21">
        <v>120</v>
      </c>
      <c r="V18" s="17">
        <v>110</v>
      </c>
      <c r="W18" s="8">
        <v>58.15</v>
      </c>
      <c r="X18" s="53">
        <v>86.67</v>
      </c>
      <c r="Y18" s="54">
        <v>62.33</v>
      </c>
      <c r="Z18" s="55">
        <v>79.83</v>
      </c>
      <c r="AA18" s="53">
        <v>77.17</v>
      </c>
      <c r="AB18" s="51">
        <v>2.5</v>
      </c>
      <c r="AC18" s="7">
        <v>4.17</v>
      </c>
      <c r="AD18" s="7">
        <v>2.92</v>
      </c>
      <c r="AE18" s="7">
        <v>3.13</v>
      </c>
      <c r="AF18" s="7">
        <v>3.17</v>
      </c>
      <c r="AG18" s="8">
        <v>1.5</v>
      </c>
      <c r="AH18" s="57">
        <v>327.38</v>
      </c>
      <c r="AI18" s="57">
        <v>3.91</v>
      </c>
      <c r="AJ18" s="57">
        <v>328.01</v>
      </c>
      <c r="AK18" s="57">
        <v>324.75</v>
      </c>
      <c r="AL18" s="57">
        <v>323.48</v>
      </c>
      <c r="AM18" s="59">
        <v>500</v>
      </c>
      <c r="AN18" s="9" t="s">
        <v>104</v>
      </c>
      <c r="AO18" s="20" t="s">
        <v>104</v>
      </c>
      <c r="AP18" s="57">
        <v>327.38</v>
      </c>
      <c r="AQ18" s="57">
        <v>3.91</v>
      </c>
      <c r="AR18" s="67">
        <v>500</v>
      </c>
    </row>
    <row r="19" spans="1:44" x14ac:dyDescent="0.3">
      <c r="A19" s="28" t="s">
        <v>91</v>
      </c>
      <c r="B19" s="11" t="s">
        <v>13</v>
      </c>
      <c r="C19" s="80" t="s">
        <v>30</v>
      </c>
      <c r="D19" s="76">
        <v>3</v>
      </c>
      <c r="E19" s="4">
        <v>0</v>
      </c>
      <c r="F19" s="4">
        <v>3</v>
      </c>
      <c r="G19" s="4">
        <v>27</v>
      </c>
      <c r="H19" s="4">
        <v>3</v>
      </c>
      <c r="I19" s="13">
        <f t="shared" si="0"/>
        <v>9</v>
      </c>
      <c r="J19" s="14" t="s">
        <v>121</v>
      </c>
      <c r="K19" s="15" t="s">
        <v>121</v>
      </c>
      <c r="L19" s="37">
        <v>119</v>
      </c>
      <c r="M19" s="36">
        <v>114.33</v>
      </c>
      <c r="N19" s="38">
        <v>55.02</v>
      </c>
      <c r="O19" s="21" t="s">
        <v>119</v>
      </c>
      <c r="P19" s="17" t="s">
        <v>118</v>
      </c>
      <c r="Q19" s="8" t="s">
        <v>118</v>
      </c>
      <c r="R19" s="39" t="s">
        <v>118</v>
      </c>
      <c r="S19" s="46" t="s">
        <v>118</v>
      </c>
      <c r="T19" s="38" t="s">
        <v>118</v>
      </c>
      <c r="U19" s="21" t="s">
        <v>118</v>
      </c>
      <c r="V19" s="17" t="s">
        <v>118</v>
      </c>
      <c r="W19" s="8" t="s">
        <v>118</v>
      </c>
      <c r="X19" s="53">
        <v>79.67</v>
      </c>
      <c r="Y19" s="54">
        <v>66</v>
      </c>
      <c r="Z19" s="55">
        <v>65.5</v>
      </c>
      <c r="AA19" s="53">
        <v>69.17</v>
      </c>
      <c r="AB19" s="51">
        <v>3.33</v>
      </c>
      <c r="AC19" s="7">
        <v>4</v>
      </c>
      <c r="AD19" s="7">
        <v>4</v>
      </c>
      <c r="AE19" s="7">
        <v>3.83</v>
      </c>
      <c r="AF19" s="7">
        <v>3</v>
      </c>
      <c r="AG19" s="8">
        <v>3</v>
      </c>
      <c r="AH19" s="57">
        <v>316.27999999999997</v>
      </c>
      <c r="AI19" s="57">
        <v>1.21</v>
      </c>
      <c r="AJ19" s="57" t="s">
        <v>119</v>
      </c>
      <c r="AK19" s="57" t="s">
        <v>118</v>
      </c>
      <c r="AL19" s="57" t="s">
        <v>118</v>
      </c>
      <c r="AM19" s="59">
        <v>500</v>
      </c>
      <c r="AN19" s="9" t="s">
        <v>104</v>
      </c>
      <c r="AO19" s="20" t="s">
        <v>104</v>
      </c>
      <c r="AP19" s="57">
        <v>316.27999999999997</v>
      </c>
      <c r="AQ19" s="57">
        <v>1.21</v>
      </c>
      <c r="AR19" s="67">
        <v>500</v>
      </c>
    </row>
    <row r="20" spans="1:44" x14ac:dyDescent="0.3">
      <c r="A20" s="28" t="s">
        <v>91</v>
      </c>
      <c r="B20" s="11" t="s">
        <v>13</v>
      </c>
      <c r="C20" s="80" t="s">
        <v>32</v>
      </c>
      <c r="D20" s="76">
        <v>6</v>
      </c>
      <c r="E20" s="4">
        <v>0</v>
      </c>
      <c r="F20" s="4">
        <v>6</v>
      </c>
      <c r="G20" s="4">
        <v>45</v>
      </c>
      <c r="H20" s="4">
        <v>6</v>
      </c>
      <c r="I20" s="13">
        <f t="shared" si="0"/>
        <v>7.5</v>
      </c>
      <c r="J20" s="14">
        <v>4</v>
      </c>
      <c r="K20" s="15">
        <v>4</v>
      </c>
      <c r="L20" s="37">
        <v>119.67</v>
      </c>
      <c r="M20" s="36">
        <v>116.67</v>
      </c>
      <c r="N20" s="38">
        <v>58.35</v>
      </c>
      <c r="O20" s="21">
        <v>120</v>
      </c>
      <c r="P20" s="17">
        <v>118</v>
      </c>
      <c r="Q20" s="8">
        <v>58.84</v>
      </c>
      <c r="R20" s="39">
        <v>118</v>
      </c>
      <c r="S20" s="46">
        <v>117</v>
      </c>
      <c r="T20" s="38">
        <v>58.49</v>
      </c>
      <c r="U20" s="21">
        <v>118</v>
      </c>
      <c r="V20" s="17">
        <v>113</v>
      </c>
      <c r="W20" s="8">
        <v>57.84</v>
      </c>
      <c r="X20" s="53">
        <v>80.5</v>
      </c>
      <c r="Y20" s="54">
        <v>71.5</v>
      </c>
      <c r="Z20" s="55">
        <v>74.58</v>
      </c>
      <c r="AA20" s="53">
        <v>75.290000000000006</v>
      </c>
      <c r="AB20" s="51">
        <v>3.17</v>
      </c>
      <c r="AC20" s="7">
        <v>3.67</v>
      </c>
      <c r="AD20" s="7">
        <v>3.5</v>
      </c>
      <c r="AE20" s="7">
        <v>3.46</v>
      </c>
      <c r="AF20" s="7">
        <v>2.83</v>
      </c>
      <c r="AG20" s="8">
        <v>2.67</v>
      </c>
      <c r="AH20" s="57">
        <v>323.69</v>
      </c>
      <c r="AI20" s="57">
        <v>1.46</v>
      </c>
      <c r="AJ20" s="57">
        <v>324.08</v>
      </c>
      <c r="AK20" s="57">
        <v>323.26</v>
      </c>
      <c r="AL20" s="57">
        <v>322.99</v>
      </c>
      <c r="AM20" s="59">
        <v>500</v>
      </c>
      <c r="AN20" s="9" t="s">
        <v>104</v>
      </c>
      <c r="AO20" s="20" t="s">
        <v>104</v>
      </c>
      <c r="AP20" s="57">
        <v>323.69</v>
      </c>
      <c r="AQ20" s="57">
        <v>1.46</v>
      </c>
      <c r="AR20" s="67">
        <v>500</v>
      </c>
    </row>
    <row r="21" spans="1:44" x14ac:dyDescent="0.3">
      <c r="A21" s="28" t="s">
        <v>91</v>
      </c>
      <c r="B21" s="11" t="s">
        <v>13</v>
      </c>
      <c r="C21" s="80" t="s">
        <v>34</v>
      </c>
      <c r="D21" s="76">
        <v>11</v>
      </c>
      <c r="E21" s="4">
        <v>2</v>
      </c>
      <c r="F21" s="4">
        <v>13</v>
      </c>
      <c r="G21" s="4">
        <v>70</v>
      </c>
      <c r="H21" s="4">
        <v>13</v>
      </c>
      <c r="I21" s="13">
        <f t="shared" si="0"/>
        <v>5.384615384615385</v>
      </c>
      <c r="J21" s="14">
        <v>3</v>
      </c>
      <c r="K21" s="15">
        <v>3</v>
      </c>
      <c r="L21" s="37">
        <v>120.46</v>
      </c>
      <c r="M21" s="36">
        <v>111.85</v>
      </c>
      <c r="N21" s="38">
        <v>61.69</v>
      </c>
      <c r="O21" s="21">
        <v>121</v>
      </c>
      <c r="P21" s="17">
        <v>114</v>
      </c>
      <c r="Q21" s="8">
        <v>62.31</v>
      </c>
      <c r="R21" s="39">
        <v>115</v>
      </c>
      <c r="S21" s="46">
        <v>111</v>
      </c>
      <c r="T21" s="38">
        <v>60.53</v>
      </c>
      <c r="U21" s="21">
        <v>113</v>
      </c>
      <c r="V21" s="17">
        <v>108</v>
      </c>
      <c r="W21" s="8">
        <v>59.52</v>
      </c>
      <c r="X21" s="53">
        <v>80.23</v>
      </c>
      <c r="Y21" s="54">
        <v>63.38</v>
      </c>
      <c r="Z21" s="55">
        <v>83.15</v>
      </c>
      <c r="AA21" s="53">
        <v>77.48</v>
      </c>
      <c r="AB21" s="51">
        <v>3.08</v>
      </c>
      <c r="AC21" s="7">
        <v>4.2300000000000004</v>
      </c>
      <c r="AD21" s="7">
        <v>2.54</v>
      </c>
      <c r="AE21" s="7">
        <v>3.1</v>
      </c>
      <c r="AF21" s="7">
        <v>3</v>
      </c>
      <c r="AG21" s="8">
        <v>2.08</v>
      </c>
      <c r="AH21" s="57">
        <v>325.42</v>
      </c>
      <c r="AI21" s="57">
        <v>6.15</v>
      </c>
      <c r="AJ21" s="57">
        <v>323.81</v>
      </c>
      <c r="AK21" s="57">
        <v>322.81</v>
      </c>
      <c r="AL21" s="57">
        <v>321.70999999999998</v>
      </c>
      <c r="AM21" s="59">
        <v>500</v>
      </c>
      <c r="AN21" s="9" t="s">
        <v>104</v>
      </c>
      <c r="AO21" s="20" t="s">
        <v>104</v>
      </c>
      <c r="AP21" s="57">
        <v>325.42</v>
      </c>
      <c r="AQ21" s="57">
        <v>6.15</v>
      </c>
      <c r="AR21" s="67">
        <v>500</v>
      </c>
    </row>
    <row r="22" spans="1:44" x14ac:dyDescent="0.3">
      <c r="A22" s="28" t="s">
        <v>91</v>
      </c>
      <c r="B22" s="11" t="s">
        <v>13</v>
      </c>
      <c r="C22" s="80" t="s">
        <v>36</v>
      </c>
      <c r="D22" s="76">
        <v>16</v>
      </c>
      <c r="E22" s="4">
        <v>2</v>
      </c>
      <c r="F22" s="4">
        <v>18</v>
      </c>
      <c r="G22" s="4">
        <v>66</v>
      </c>
      <c r="H22" s="4">
        <v>18</v>
      </c>
      <c r="I22" s="13">
        <f t="shared" si="0"/>
        <v>3.6666666666666665</v>
      </c>
      <c r="J22" s="14">
        <v>11</v>
      </c>
      <c r="K22" s="15">
        <v>8</v>
      </c>
      <c r="L22" s="37">
        <v>111.44</v>
      </c>
      <c r="M22" s="36">
        <v>119.22</v>
      </c>
      <c r="N22" s="38">
        <v>56.05</v>
      </c>
      <c r="O22" s="21">
        <v>115</v>
      </c>
      <c r="P22" s="17">
        <v>119</v>
      </c>
      <c r="Q22" s="8">
        <v>55.78</v>
      </c>
      <c r="R22" s="39">
        <v>109</v>
      </c>
      <c r="S22" s="46">
        <v>118</v>
      </c>
      <c r="T22" s="38">
        <v>53.81</v>
      </c>
      <c r="U22" s="21">
        <v>98</v>
      </c>
      <c r="V22" s="17">
        <v>116</v>
      </c>
      <c r="W22" s="8">
        <v>52.28</v>
      </c>
      <c r="X22" s="53">
        <v>67.67</v>
      </c>
      <c r="Y22" s="54">
        <v>76.72</v>
      </c>
      <c r="Z22" s="55">
        <v>68.17</v>
      </c>
      <c r="AA22" s="53">
        <v>70.180000000000007</v>
      </c>
      <c r="AB22" s="51">
        <v>3.94</v>
      </c>
      <c r="AC22" s="7">
        <v>3.28</v>
      </c>
      <c r="AD22" s="7">
        <v>3.83</v>
      </c>
      <c r="AE22" s="7">
        <v>3.72</v>
      </c>
      <c r="AF22" s="7">
        <v>3.33</v>
      </c>
      <c r="AG22" s="8">
        <v>2.39</v>
      </c>
      <c r="AH22" s="57">
        <v>313.38</v>
      </c>
      <c r="AI22" s="57">
        <v>4.63</v>
      </c>
      <c r="AJ22" s="57">
        <v>312.55</v>
      </c>
      <c r="AK22" s="57">
        <v>311.14</v>
      </c>
      <c r="AL22" s="57">
        <v>310.36</v>
      </c>
      <c r="AM22" s="59">
        <v>500</v>
      </c>
      <c r="AN22" s="9" t="s">
        <v>104</v>
      </c>
      <c r="AO22" s="20" t="s">
        <v>104</v>
      </c>
      <c r="AP22" s="57">
        <v>313.38</v>
      </c>
      <c r="AQ22" s="57">
        <v>4.63</v>
      </c>
      <c r="AR22" s="67">
        <v>500</v>
      </c>
    </row>
    <row r="23" spans="1:44" x14ac:dyDescent="0.3">
      <c r="A23" s="28" t="s">
        <v>91</v>
      </c>
      <c r="B23" s="11" t="s">
        <v>13</v>
      </c>
      <c r="C23" s="80" t="s">
        <v>38</v>
      </c>
      <c r="D23" s="76">
        <v>6</v>
      </c>
      <c r="E23" s="4">
        <v>1</v>
      </c>
      <c r="F23" s="4">
        <v>7</v>
      </c>
      <c r="G23" s="4">
        <v>42</v>
      </c>
      <c r="H23" s="4">
        <v>7</v>
      </c>
      <c r="I23" s="13">
        <f t="shared" si="0"/>
        <v>6</v>
      </c>
      <c r="J23" s="14">
        <v>8</v>
      </c>
      <c r="K23" s="15">
        <v>4</v>
      </c>
      <c r="L23" s="37">
        <v>115</v>
      </c>
      <c r="M23" s="36">
        <v>125.71</v>
      </c>
      <c r="N23" s="38">
        <v>58.79</v>
      </c>
      <c r="O23" s="21">
        <v>122</v>
      </c>
      <c r="P23" s="17">
        <v>127</v>
      </c>
      <c r="Q23" s="8">
        <v>60.85</v>
      </c>
      <c r="R23" s="39">
        <v>117</v>
      </c>
      <c r="S23" s="46">
        <v>127</v>
      </c>
      <c r="T23" s="38">
        <v>59.09</v>
      </c>
      <c r="U23" s="21">
        <v>113</v>
      </c>
      <c r="V23" s="17">
        <v>127</v>
      </c>
      <c r="W23" s="8">
        <v>58.5</v>
      </c>
      <c r="X23" s="53">
        <v>73.430000000000007</v>
      </c>
      <c r="Y23" s="54">
        <v>90.86</v>
      </c>
      <c r="Z23" s="55">
        <v>75.36</v>
      </c>
      <c r="AA23" s="53">
        <v>78.75</v>
      </c>
      <c r="AB23" s="51">
        <v>3.57</v>
      </c>
      <c r="AC23" s="7">
        <v>2.14</v>
      </c>
      <c r="AD23" s="7">
        <v>3.21</v>
      </c>
      <c r="AE23" s="7">
        <v>3.04</v>
      </c>
      <c r="AF23" s="7">
        <v>2.29</v>
      </c>
      <c r="AG23" s="8">
        <v>2.4300000000000002</v>
      </c>
      <c r="AH23" s="57">
        <v>332.89</v>
      </c>
      <c r="AI23" s="57">
        <v>6.82</v>
      </c>
      <c r="AJ23" s="57">
        <v>334.9</v>
      </c>
      <c r="AK23" s="57">
        <v>329.26</v>
      </c>
      <c r="AL23" s="57">
        <v>328.36</v>
      </c>
      <c r="AM23" s="59">
        <v>500</v>
      </c>
      <c r="AN23" s="9" t="s">
        <v>104</v>
      </c>
      <c r="AO23" s="20" t="s">
        <v>104</v>
      </c>
      <c r="AP23" s="57">
        <v>332.89</v>
      </c>
      <c r="AQ23" s="57">
        <v>6.82</v>
      </c>
      <c r="AR23" s="67">
        <v>500</v>
      </c>
    </row>
    <row r="24" spans="1:44" x14ac:dyDescent="0.3">
      <c r="A24" s="28" t="s">
        <v>91</v>
      </c>
      <c r="B24" s="11" t="s">
        <v>19</v>
      </c>
      <c r="C24" s="80" t="s">
        <v>42</v>
      </c>
      <c r="D24" s="76">
        <v>29</v>
      </c>
      <c r="E24" s="4">
        <v>3</v>
      </c>
      <c r="F24" s="4">
        <v>32</v>
      </c>
      <c r="G24" s="4">
        <v>184</v>
      </c>
      <c r="H24" s="4">
        <v>30</v>
      </c>
      <c r="I24" s="13">
        <f t="shared" si="0"/>
        <v>5.75</v>
      </c>
      <c r="J24" s="14">
        <v>14</v>
      </c>
      <c r="K24" s="15">
        <v>11</v>
      </c>
      <c r="L24" s="37">
        <v>115.8</v>
      </c>
      <c r="M24" s="36">
        <v>111.47</v>
      </c>
      <c r="N24" s="38">
        <v>58.05</v>
      </c>
      <c r="O24" s="21">
        <v>116</v>
      </c>
      <c r="P24" s="17">
        <v>112</v>
      </c>
      <c r="Q24" s="8">
        <v>58.49</v>
      </c>
      <c r="R24" s="39">
        <v>113</v>
      </c>
      <c r="S24" s="46">
        <v>109</v>
      </c>
      <c r="T24" s="38">
        <v>57.31</v>
      </c>
      <c r="U24" s="21">
        <v>111</v>
      </c>
      <c r="V24" s="17">
        <v>106</v>
      </c>
      <c r="W24" s="8">
        <v>54.87</v>
      </c>
      <c r="X24" s="53">
        <v>74.67</v>
      </c>
      <c r="Y24" s="54">
        <v>61.93</v>
      </c>
      <c r="Z24" s="55">
        <v>73.7</v>
      </c>
      <c r="AA24" s="53">
        <v>71</v>
      </c>
      <c r="AB24" s="51">
        <v>3.6</v>
      </c>
      <c r="AC24" s="7">
        <v>4.2699999999999996</v>
      </c>
      <c r="AD24" s="7">
        <v>3.45</v>
      </c>
      <c r="AE24" s="7">
        <v>3.69</v>
      </c>
      <c r="AF24" s="7">
        <v>3.1</v>
      </c>
      <c r="AG24" s="8">
        <v>3</v>
      </c>
      <c r="AH24" s="57">
        <v>314.20999999999998</v>
      </c>
      <c r="AI24" s="57">
        <v>2.68</v>
      </c>
      <c r="AJ24" s="57">
        <v>313.73</v>
      </c>
      <c r="AK24" s="57">
        <v>312.57</v>
      </c>
      <c r="AL24" s="57">
        <v>312.12</v>
      </c>
      <c r="AM24" s="59">
        <v>500</v>
      </c>
      <c r="AN24" s="9" t="s">
        <v>104</v>
      </c>
      <c r="AO24" s="20" t="s">
        <v>104</v>
      </c>
      <c r="AP24" s="57">
        <v>314.20999999999998</v>
      </c>
      <c r="AQ24" s="57">
        <v>2.68</v>
      </c>
      <c r="AR24" s="67">
        <v>500</v>
      </c>
    </row>
    <row r="25" spans="1:44" x14ac:dyDescent="0.3">
      <c r="A25" s="28" t="s">
        <v>91</v>
      </c>
      <c r="B25" s="11" t="s">
        <v>29</v>
      </c>
      <c r="C25" s="80" t="s">
        <v>50</v>
      </c>
      <c r="D25" s="76">
        <v>0</v>
      </c>
      <c r="E25" s="4">
        <v>2</v>
      </c>
      <c r="F25" s="4">
        <v>2</v>
      </c>
      <c r="G25" s="4">
        <v>42</v>
      </c>
      <c r="H25" s="4">
        <v>2</v>
      </c>
      <c r="I25" s="13">
        <f t="shared" si="0"/>
        <v>21</v>
      </c>
      <c r="J25" s="14">
        <v>2</v>
      </c>
      <c r="K25" s="15">
        <v>1</v>
      </c>
      <c r="L25" s="37">
        <v>119</v>
      </c>
      <c r="M25" s="36">
        <v>110</v>
      </c>
      <c r="N25" s="38">
        <v>58.91</v>
      </c>
      <c r="O25" s="21" t="s">
        <v>117</v>
      </c>
      <c r="P25" s="17" t="s">
        <v>116</v>
      </c>
      <c r="Q25" s="8" t="s">
        <v>116</v>
      </c>
      <c r="R25" s="39" t="s">
        <v>116</v>
      </c>
      <c r="S25" s="46" t="s">
        <v>116</v>
      </c>
      <c r="T25" s="38" t="s">
        <v>116</v>
      </c>
      <c r="U25" s="21" t="s">
        <v>116</v>
      </c>
      <c r="V25" s="17" t="s">
        <v>116</v>
      </c>
      <c r="W25" s="8" t="s">
        <v>116</v>
      </c>
      <c r="X25" s="53">
        <v>80</v>
      </c>
      <c r="Y25" s="54">
        <v>59.5</v>
      </c>
      <c r="Z25" s="55">
        <v>76.25</v>
      </c>
      <c r="AA25" s="53">
        <v>73</v>
      </c>
      <c r="AB25" s="51">
        <v>3</v>
      </c>
      <c r="AC25" s="7">
        <v>4.5</v>
      </c>
      <c r="AD25" s="7">
        <v>3.5</v>
      </c>
      <c r="AE25" s="7">
        <v>3.63</v>
      </c>
      <c r="AF25" s="7">
        <v>4</v>
      </c>
      <c r="AG25" s="8">
        <v>2</v>
      </c>
      <c r="AH25" s="57">
        <v>312.87</v>
      </c>
      <c r="AI25" s="57" t="s">
        <v>116</v>
      </c>
      <c r="AJ25" s="57" t="s">
        <v>116</v>
      </c>
      <c r="AK25" s="57" t="s">
        <v>116</v>
      </c>
      <c r="AL25" s="57" t="s">
        <v>116</v>
      </c>
      <c r="AM25" s="59">
        <v>500</v>
      </c>
      <c r="AN25" s="9" t="s">
        <v>104</v>
      </c>
      <c r="AO25" s="20" t="s">
        <v>104</v>
      </c>
      <c r="AP25" s="57">
        <v>312.87</v>
      </c>
      <c r="AQ25" s="57" t="s">
        <v>116</v>
      </c>
      <c r="AR25" s="67">
        <v>500</v>
      </c>
    </row>
    <row r="26" spans="1:44" x14ac:dyDescent="0.3">
      <c r="A26" s="28" t="s">
        <v>91</v>
      </c>
      <c r="B26" s="11" t="s">
        <v>29</v>
      </c>
      <c r="C26" s="80" t="s">
        <v>51</v>
      </c>
      <c r="D26" s="76">
        <v>0</v>
      </c>
      <c r="E26" s="4">
        <v>3</v>
      </c>
      <c r="F26" s="4">
        <v>3</v>
      </c>
      <c r="G26" s="4">
        <v>20</v>
      </c>
      <c r="H26" s="4">
        <v>3</v>
      </c>
      <c r="I26" s="13">
        <f t="shared" si="0"/>
        <v>6.666666666666667</v>
      </c>
      <c r="J26" s="14">
        <v>2</v>
      </c>
      <c r="K26" s="15">
        <v>1</v>
      </c>
      <c r="L26" s="37">
        <v>109.33</v>
      </c>
      <c r="M26" s="36">
        <v>108</v>
      </c>
      <c r="N26" s="38">
        <v>61.89</v>
      </c>
      <c r="O26" s="21" t="s">
        <v>119</v>
      </c>
      <c r="P26" s="17" t="s">
        <v>118</v>
      </c>
      <c r="Q26" s="8" t="s">
        <v>118</v>
      </c>
      <c r="R26" s="39" t="s">
        <v>118</v>
      </c>
      <c r="S26" s="46" t="s">
        <v>118</v>
      </c>
      <c r="T26" s="38" t="s">
        <v>118</v>
      </c>
      <c r="U26" s="21" t="s">
        <v>118</v>
      </c>
      <c r="V26" s="17" t="s">
        <v>118</v>
      </c>
      <c r="W26" s="8" t="s">
        <v>118</v>
      </c>
      <c r="X26" s="53">
        <v>64.33</v>
      </c>
      <c r="Y26" s="54">
        <v>63</v>
      </c>
      <c r="Z26" s="55">
        <v>84.17</v>
      </c>
      <c r="AA26" s="53">
        <v>73.92</v>
      </c>
      <c r="AB26" s="51">
        <v>4</v>
      </c>
      <c r="AC26" s="7">
        <v>4</v>
      </c>
      <c r="AD26" s="7">
        <v>2.5</v>
      </c>
      <c r="AE26" s="7">
        <v>3.25</v>
      </c>
      <c r="AF26" s="7">
        <v>3.33</v>
      </c>
      <c r="AG26" s="8">
        <v>2.67</v>
      </c>
      <c r="AH26" s="57">
        <v>309.83</v>
      </c>
      <c r="AI26" s="57">
        <v>1.33</v>
      </c>
      <c r="AJ26" s="57" t="s">
        <v>118</v>
      </c>
      <c r="AK26" s="57" t="s">
        <v>118</v>
      </c>
      <c r="AL26" s="57" t="s">
        <v>118</v>
      </c>
      <c r="AM26" s="59">
        <v>500</v>
      </c>
      <c r="AN26" s="9" t="s">
        <v>104</v>
      </c>
      <c r="AO26" s="20" t="s">
        <v>104</v>
      </c>
      <c r="AP26" s="57">
        <v>309.83</v>
      </c>
      <c r="AQ26" s="57">
        <v>1.33</v>
      </c>
      <c r="AR26" s="67">
        <v>500</v>
      </c>
    </row>
    <row r="27" spans="1:44" x14ac:dyDescent="0.3">
      <c r="A27" s="28" t="s">
        <v>91</v>
      </c>
      <c r="B27" s="11" t="s">
        <v>29</v>
      </c>
      <c r="C27" s="80" t="s">
        <v>52</v>
      </c>
      <c r="D27" s="76">
        <v>0</v>
      </c>
      <c r="E27" s="4">
        <v>2</v>
      </c>
      <c r="F27" s="4">
        <v>2</v>
      </c>
      <c r="G27" s="4">
        <v>41</v>
      </c>
      <c r="H27" s="4">
        <v>2</v>
      </c>
      <c r="I27" s="13">
        <f t="shared" si="0"/>
        <v>20.5</v>
      </c>
      <c r="J27" s="14">
        <v>1</v>
      </c>
      <c r="K27" s="15">
        <v>1</v>
      </c>
      <c r="L27" s="37">
        <v>119</v>
      </c>
      <c r="M27" s="36">
        <v>101</v>
      </c>
      <c r="N27" s="38">
        <v>61.4</v>
      </c>
      <c r="O27" s="21" t="s">
        <v>117</v>
      </c>
      <c r="P27" s="17" t="s">
        <v>116</v>
      </c>
      <c r="Q27" s="8" t="s">
        <v>116</v>
      </c>
      <c r="R27" s="39" t="s">
        <v>116</v>
      </c>
      <c r="S27" s="46" t="s">
        <v>116</v>
      </c>
      <c r="T27" s="38" t="s">
        <v>116</v>
      </c>
      <c r="U27" s="21" t="s">
        <v>116</v>
      </c>
      <c r="V27" s="17" t="s">
        <v>116</v>
      </c>
      <c r="W27" s="8" t="s">
        <v>116</v>
      </c>
      <c r="X27" s="53">
        <v>80</v>
      </c>
      <c r="Y27" s="54">
        <v>49.5</v>
      </c>
      <c r="Z27" s="55">
        <v>82.75</v>
      </c>
      <c r="AA27" s="53">
        <v>73.75</v>
      </c>
      <c r="AB27" s="51">
        <v>3</v>
      </c>
      <c r="AC27" s="7">
        <v>5</v>
      </c>
      <c r="AD27" s="7">
        <v>2.5</v>
      </c>
      <c r="AE27" s="7">
        <v>3.25</v>
      </c>
      <c r="AF27" s="7">
        <v>3.5</v>
      </c>
      <c r="AG27" s="8">
        <v>3</v>
      </c>
      <c r="AH27" s="57">
        <v>312.83999999999997</v>
      </c>
      <c r="AI27" s="57" t="s">
        <v>116</v>
      </c>
      <c r="AJ27" s="57" t="s">
        <v>116</v>
      </c>
      <c r="AK27" s="57" t="s">
        <v>116</v>
      </c>
      <c r="AL27" s="57" t="s">
        <v>116</v>
      </c>
      <c r="AM27" s="59">
        <v>500</v>
      </c>
      <c r="AN27" s="9" t="s">
        <v>104</v>
      </c>
      <c r="AO27" s="20" t="s">
        <v>104</v>
      </c>
      <c r="AP27" s="57">
        <v>312.83999999999997</v>
      </c>
      <c r="AQ27" s="57" t="s">
        <v>116</v>
      </c>
      <c r="AR27" s="67">
        <v>500</v>
      </c>
    </row>
    <row r="28" spans="1:44" x14ac:dyDescent="0.3">
      <c r="A28" s="28" t="s">
        <v>91</v>
      </c>
      <c r="B28" s="11" t="s">
        <v>29</v>
      </c>
      <c r="C28" s="80" t="s">
        <v>53</v>
      </c>
      <c r="D28" s="76">
        <v>90</v>
      </c>
      <c r="E28" s="4">
        <v>0</v>
      </c>
      <c r="F28" s="4">
        <v>90</v>
      </c>
      <c r="G28" s="4">
        <v>527</v>
      </c>
      <c r="H28" s="4">
        <v>87</v>
      </c>
      <c r="I28" s="13">
        <f t="shared" si="0"/>
        <v>5.8555555555555552</v>
      </c>
      <c r="J28" s="14">
        <v>30</v>
      </c>
      <c r="K28" s="15">
        <v>26</v>
      </c>
      <c r="L28" s="37">
        <v>115.63</v>
      </c>
      <c r="M28" s="36">
        <v>110.64</v>
      </c>
      <c r="N28" s="38">
        <v>59.46</v>
      </c>
      <c r="O28" s="21">
        <v>116</v>
      </c>
      <c r="P28" s="17">
        <v>111</v>
      </c>
      <c r="Q28" s="8">
        <v>59.75</v>
      </c>
      <c r="R28" s="39">
        <v>113</v>
      </c>
      <c r="S28" s="46">
        <v>108</v>
      </c>
      <c r="T28" s="38">
        <v>58.15</v>
      </c>
      <c r="U28" s="21">
        <v>110</v>
      </c>
      <c r="V28" s="17">
        <v>105</v>
      </c>
      <c r="W28" s="8">
        <v>56.73</v>
      </c>
      <c r="X28" s="53">
        <v>74.400000000000006</v>
      </c>
      <c r="Y28" s="54">
        <v>61.01</v>
      </c>
      <c r="Z28" s="55">
        <v>77.53</v>
      </c>
      <c r="AA28" s="53">
        <v>72.62</v>
      </c>
      <c r="AB28" s="51">
        <v>3.52</v>
      </c>
      <c r="AC28" s="7">
        <v>4.33</v>
      </c>
      <c r="AD28" s="7">
        <v>3.23</v>
      </c>
      <c r="AE28" s="7">
        <v>3.58</v>
      </c>
      <c r="AF28" s="7">
        <v>3.15</v>
      </c>
      <c r="AG28" s="8">
        <v>2.84</v>
      </c>
      <c r="AH28" s="57">
        <v>315.49</v>
      </c>
      <c r="AI28" s="57">
        <v>2.19</v>
      </c>
      <c r="AJ28" s="57">
        <v>314.89</v>
      </c>
      <c r="AK28" s="57">
        <v>314.2</v>
      </c>
      <c r="AL28" s="57">
        <v>313.57</v>
      </c>
      <c r="AM28" s="59">
        <v>500</v>
      </c>
      <c r="AN28" s="9" t="s">
        <v>104</v>
      </c>
      <c r="AO28" s="20" t="s">
        <v>104</v>
      </c>
      <c r="AP28" s="57">
        <v>315.49</v>
      </c>
      <c r="AQ28" s="57">
        <v>2.19</v>
      </c>
      <c r="AR28" s="67">
        <v>500</v>
      </c>
    </row>
    <row r="29" spans="1:44" x14ac:dyDescent="0.3">
      <c r="A29" s="28" t="s">
        <v>91</v>
      </c>
      <c r="B29" s="11" t="s">
        <v>31</v>
      </c>
      <c r="C29" s="80" t="s">
        <v>54</v>
      </c>
      <c r="D29" s="76">
        <v>49</v>
      </c>
      <c r="E29" s="4">
        <v>9</v>
      </c>
      <c r="F29" s="4">
        <v>58</v>
      </c>
      <c r="G29" s="4">
        <v>291</v>
      </c>
      <c r="H29" s="4">
        <v>55</v>
      </c>
      <c r="I29" s="13">
        <f t="shared" si="0"/>
        <v>5.0172413793103452</v>
      </c>
      <c r="J29" s="14">
        <v>49</v>
      </c>
      <c r="K29" s="15">
        <v>25</v>
      </c>
      <c r="L29" s="37">
        <v>113.89</v>
      </c>
      <c r="M29" s="36">
        <v>117.09</v>
      </c>
      <c r="N29" s="38">
        <v>59.59</v>
      </c>
      <c r="O29" s="21">
        <v>114</v>
      </c>
      <c r="P29" s="17">
        <v>118</v>
      </c>
      <c r="Q29" s="8">
        <v>60.23</v>
      </c>
      <c r="R29" s="39">
        <v>110</v>
      </c>
      <c r="S29" s="46">
        <v>115</v>
      </c>
      <c r="T29" s="38">
        <v>58.23</v>
      </c>
      <c r="U29" s="21">
        <v>107</v>
      </c>
      <c r="V29" s="17">
        <v>113</v>
      </c>
      <c r="W29" s="8">
        <v>56.13</v>
      </c>
      <c r="X29" s="53">
        <v>71.349999999999994</v>
      </c>
      <c r="Y29" s="54">
        <v>72.44</v>
      </c>
      <c r="Z29" s="55">
        <v>68.19</v>
      </c>
      <c r="AA29" s="53">
        <v>70.040000000000006</v>
      </c>
      <c r="AB29" s="51">
        <v>3.73</v>
      </c>
      <c r="AC29" s="7">
        <v>3.58</v>
      </c>
      <c r="AD29" s="7">
        <v>3.82</v>
      </c>
      <c r="AE29" s="7">
        <v>3.74</v>
      </c>
      <c r="AF29" s="7">
        <v>2.93</v>
      </c>
      <c r="AG29" s="8">
        <v>2.89</v>
      </c>
      <c r="AH29" s="57">
        <v>320.55</v>
      </c>
      <c r="AI29" s="57">
        <v>4.6100000000000003</v>
      </c>
      <c r="AJ29" s="57">
        <v>319.27999999999997</v>
      </c>
      <c r="AK29" s="57">
        <v>317.88</v>
      </c>
      <c r="AL29" s="57">
        <v>316.85000000000002</v>
      </c>
      <c r="AM29" s="59">
        <v>500</v>
      </c>
      <c r="AN29" s="9" t="s">
        <v>104</v>
      </c>
      <c r="AO29" s="20" t="s">
        <v>104</v>
      </c>
      <c r="AP29" s="57">
        <v>320.55</v>
      </c>
      <c r="AQ29" s="57">
        <v>4.6100000000000003</v>
      </c>
      <c r="AR29" s="67">
        <v>500</v>
      </c>
    </row>
    <row r="30" spans="1:44" x14ac:dyDescent="0.3">
      <c r="A30" s="28" t="s">
        <v>91</v>
      </c>
      <c r="B30" s="11" t="s">
        <v>31</v>
      </c>
      <c r="C30" s="80" t="s">
        <v>55</v>
      </c>
      <c r="D30" s="76">
        <v>44</v>
      </c>
      <c r="E30" s="4">
        <v>2</v>
      </c>
      <c r="F30" s="4">
        <v>46</v>
      </c>
      <c r="G30" s="4">
        <v>263</v>
      </c>
      <c r="H30" s="4">
        <v>45</v>
      </c>
      <c r="I30" s="13">
        <f t="shared" si="0"/>
        <v>5.7173913043478262</v>
      </c>
      <c r="J30" s="14">
        <v>44</v>
      </c>
      <c r="K30" s="15">
        <v>28</v>
      </c>
      <c r="L30" s="37">
        <v>112.33</v>
      </c>
      <c r="M30" s="36">
        <v>117.24</v>
      </c>
      <c r="N30" s="38">
        <v>60.05</v>
      </c>
      <c r="O30" s="21">
        <v>112</v>
      </c>
      <c r="P30" s="17">
        <v>116</v>
      </c>
      <c r="Q30" s="8">
        <v>60.21</v>
      </c>
      <c r="R30" s="39">
        <v>109</v>
      </c>
      <c r="S30" s="46">
        <v>116</v>
      </c>
      <c r="T30" s="38">
        <v>57.78</v>
      </c>
      <c r="U30" s="21">
        <v>107</v>
      </c>
      <c r="V30" s="17">
        <v>114</v>
      </c>
      <c r="W30" s="8">
        <v>56.61</v>
      </c>
      <c r="X30" s="53">
        <v>69.02</v>
      </c>
      <c r="Y30" s="54">
        <v>72.400000000000006</v>
      </c>
      <c r="Z30" s="55">
        <v>73.180000000000007</v>
      </c>
      <c r="AA30" s="53">
        <v>71.94</v>
      </c>
      <c r="AB30" s="51">
        <v>3.82</v>
      </c>
      <c r="AC30" s="7">
        <v>3.58</v>
      </c>
      <c r="AD30" s="7">
        <v>3.52</v>
      </c>
      <c r="AE30" s="7">
        <v>3.61</v>
      </c>
      <c r="AF30" s="7">
        <v>3.31</v>
      </c>
      <c r="AG30" s="8">
        <v>2.87</v>
      </c>
      <c r="AH30" s="57">
        <v>318.25</v>
      </c>
      <c r="AI30" s="57">
        <v>3.35</v>
      </c>
      <c r="AJ30" s="57">
        <v>317.16000000000003</v>
      </c>
      <c r="AK30" s="57">
        <v>316.04000000000002</v>
      </c>
      <c r="AL30" s="57">
        <v>315.82</v>
      </c>
      <c r="AM30" s="59">
        <v>500</v>
      </c>
      <c r="AN30" s="9" t="s">
        <v>104</v>
      </c>
      <c r="AO30" s="20" t="s">
        <v>104</v>
      </c>
      <c r="AP30" s="57">
        <v>318.25</v>
      </c>
      <c r="AQ30" s="57">
        <v>3.35</v>
      </c>
      <c r="AR30" s="67">
        <v>500</v>
      </c>
    </row>
    <row r="31" spans="1:44" x14ac:dyDescent="0.3">
      <c r="A31" s="28" t="s">
        <v>91</v>
      </c>
      <c r="B31" s="11" t="s">
        <v>33</v>
      </c>
      <c r="C31" s="80" t="s">
        <v>57</v>
      </c>
      <c r="D31" s="76">
        <v>5</v>
      </c>
      <c r="E31" s="4">
        <v>1</v>
      </c>
      <c r="F31" s="4">
        <v>6</v>
      </c>
      <c r="G31" s="4">
        <v>63</v>
      </c>
      <c r="H31" s="4">
        <v>6</v>
      </c>
      <c r="I31" s="13">
        <f t="shared" si="0"/>
        <v>10.5</v>
      </c>
      <c r="J31" s="14">
        <v>24</v>
      </c>
      <c r="K31" s="15">
        <v>6</v>
      </c>
      <c r="L31" s="37">
        <v>141</v>
      </c>
      <c r="M31" s="36">
        <v>131</v>
      </c>
      <c r="N31" s="38">
        <v>66.02</v>
      </c>
      <c r="O31" s="21">
        <v>140</v>
      </c>
      <c r="P31" s="17">
        <v>130</v>
      </c>
      <c r="Q31" s="8">
        <v>66.400000000000006</v>
      </c>
      <c r="R31" s="39">
        <v>140</v>
      </c>
      <c r="S31" s="46">
        <v>130</v>
      </c>
      <c r="T31" s="38">
        <v>66.38</v>
      </c>
      <c r="U31" s="21">
        <v>139</v>
      </c>
      <c r="V31" s="17">
        <v>130</v>
      </c>
      <c r="W31" s="8">
        <v>63.94</v>
      </c>
      <c r="X31" s="53">
        <v>99.33</v>
      </c>
      <c r="Y31" s="54">
        <v>97.33</v>
      </c>
      <c r="Z31" s="55">
        <v>93.17</v>
      </c>
      <c r="AA31" s="53">
        <v>95.75</v>
      </c>
      <c r="AB31" s="51">
        <v>1</v>
      </c>
      <c r="AC31" s="7">
        <v>1.17</v>
      </c>
      <c r="AD31" s="7">
        <v>1.58</v>
      </c>
      <c r="AE31" s="7">
        <v>1.33</v>
      </c>
      <c r="AF31" s="7">
        <v>1.5</v>
      </c>
      <c r="AG31" s="8">
        <v>1.5</v>
      </c>
      <c r="AH31" s="57">
        <v>369.28</v>
      </c>
      <c r="AI31" s="57">
        <v>0.85</v>
      </c>
      <c r="AJ31" s="57">
        <v>369.39</v>
      </c>
      <c r="AK31" s="57">
        <v>368.91</v>
      </c>
      <c r="AL31" s="57">
        <v>368.81</v>
      </c>
      <c r="AM31" s="59">
        <v>500</v>
      </c>
      <c r="AN31" s="9" t="s">
        <v>104</v>
      </c>
      <c r="AO31" s="20" t="s">
        <v>104</v>
      </c>
      <c r="AP31" s="57">
        <v>369.28</v>
      </c>
      <c r="AQ31" s="57">
        <v>0.85</v>
      </c>
      <c r="AR31" s="67">
        <v>500</v>
      </c>
    </row>
    <row r="32" spans="1:44" x14ac:dyDescent="0.3">
      <c r="A32" s="28" t="s">
        <v>92</v>
      </c>
      <c r="B32" s="11" t="s">
        <v>7</v>
      </c>
      <c r="C32" s="80" t="s">
        <v>8</v>
      </c>
      <c r="D32" s="76">
        <v>35</v>
      </c>
      <c r="E32" s="4">
        <v>3</v>
      </c>
      <c r="F32" s="4">
        <v>38</v>
      </c>
      <c r="G32" s="4">
        <v>128</v>
      </c>
      <c r="H32" s="4">
        <v>37</v>
      </c>
      <c r="I32" s="13">
        <f t="shared" si="0"/>
        <v>3.3684210526315788</v>
      </c>
      <c r="J32" s="14">
        <v>26</v>
      </c>
      <c r="K32" s="15">
        <v>19</v>
      </c>
      <c r="L32" s="37">
        <v>121.86</v>
      </c>
      <c r="M32" s="36">
        <v>120.03</v>
      </c>
      <c r="N32" s="38">
        <v>63.25</v>
      </c>
      <c r="O32" s="21">
        <v>124</v>
      </c>
      <c r="P32" s="17">
        <v>120</v>
      </c>
      <c r="Q32" s="8">
        <v>63.47</v>
      </c>
      <c r="R32" s="39">
        <v>119</v>
      </c>
      <c r="S32" s="46">
        <v>119</v>
      </c>
      <c r="T32" s="38">
        <v>61.73</v>
      </c>
      <c r="U32" s="21">
        <v>117</v>
      </c>
      <c r="V32" s="17">
        <v>116</v>
      </c>
      <c r="W32" s="8">
        <v>60.39</v>
      </c>
      <c r="X32" s="53">
        <v>83.19</v>
      </c>
      <c r="Y32" s="54">
        <v>78.89</v>
      </c>
      <c r="Z32" s="55">
        <v>78.55</v>
      </c>
      <c r="AA32" s="53">
        <v>79.8</v>
      </c>
      <c r="AB32" s="51">
        <v>2.81</v>
      </c>
      <c r="AC32" s="7">
        <v>3.08</v>
      </c>
      <c r="AD32" s="7">
        <v>3.09</v>
      </c>
      <c r="AE32" s="7">
        <v>3.02</v>
      </c>
      <c r="AF32" s="7">
        <v>2.78</v>
      </c>
      <c r="AG32" s="8">
        <v>2.35</v>
      </c>
      <c r="AH32" s="57">
        <v>335.79</v>
      </c>
      <c r="AI32" s="57">
        <v>5.27</v>
      </c>
      <c r="AJ32" s="57">
        <v>334.46</v>
      </c>
      <c r="AK32" s="57">
        <v>332.79</v>
      </c>
      <c r="AL32" s="57">
        <v>331.18</v>
      </c>
      <c r="AM32" s="59">
        <v>500</v>
      </c>
      <c r="AN32" s="9" t="s">
        <v>104</v>
      </c>
      <c r="AO32" s="20" t="s">
        <v>104</v>
      </c>
      <c r="AP32" s="57">
        <v>335.79</v>
      </c>
      <c r="AQ32" s="57">
        <v>5.27</v>
      </c>
      <c r="AR32" s="67">
        <v>500</v>
      </c>
    </row>
    <row r="33" spans="1:44" x14ac:dyDescent="0.3">
      <c r="A33" s="28" t="s">
        <v>92</v>
      </c>
      <c r="B33" s="11" t="s">
        <v>9</v>
      </c>
      <c r="C33" s="80" t="s">
        <v>10</v>
      </c>
      <c r="D33" s="76">
        <v>238</v>
      </c>
      <c r="E33" s="4">
        <v>27</v>
      </c>
      <c r="F33" s="4">
        <v>265</v>
      </c>
      <c r="G33" s="4">
        <v>1023</v>
      </c>
      <c r="H33" s="4">
        <v>259</v>
      </c>
      <c r="I33" s="13">
        <f t="shared" si="0"/>
        <v>3.8603773584905658</v>
      </c>
      <c r="J33" s="14">
        <v>140</v>
      </c>
      <c r="K33" s="15">
        <v>101</v>
      </c>
      <c r="L33" s="37">
        <v>113.28</v>
      </c>
      <c r="M33" s="36">
        <v>118.42</v>
      </c>
      <c r="N33" s="38">
        <v>60.03</v>
      </c>
      <c r="O33" s="21">
        <v>113</v>
      </c>
      <c r="P33" s="17">
        <v>119</v>
      </c>
      <c r="Q33" s="8">
        <v>60.4</v>
      </c>
      <c r="R33" s="39">
        <v>110</v>
      </c>
      <c r="S33" s="46">
        <v>116</v>
      </c>
      <c r="T33" s="38">
        <v>57.72</v>
      </c>
      <c r="U33" s="21">
        <v>106</v>
      </c>
      <c r="V33" s="17">
        <v>114</v>
      </c>
      <c r="W33" s="8">
        <v>56.36</v>
      </c>
      <c r="X33" s="53">
        <v>70.510000000000005</v>
      </c>
      <c r="Y33" s="54">
        <v>75.33</v>
      </c>
      <c r="Z33" s="55">
        <v>71.84</v>
      </c>
      <c r="AA33" s="53">
        <v>72.38</v>
      </c>
      <c r="AB33" s="51">
        <v>3.79</v>
      </c>
      <c r="AC33" s="7">
        <v>3.35</v>
      </c>
      <c r="AD33" s="7">
        <v>3.6</v>
      </c>
      <c r="AE33" s="7">
        <v>3.58</v>
      </c>
      <c r="AF33" s="7">
        <v>3.14</v>
      </c>
      <c r="AG33" s="8">
        <v>3.02</v>
      </c>
      <c r="AH33" s="57">
        <v>321.11</v>
      </c>
      <c r="AI33" s="57">
        <v>4.53</v>
      </c>
      <c r="AJ33" s="57">
        <v>320.26</v>
      </c>
      <c r="AK33" s="57">
        <v>318.10000000000002</v>
      </c>
      <c r="AL33" s="57">
        <v>317.29000000000002</v>
      </c>
      <c r="AM33" s="59">
        <v>500</v>
      </c>
      <c r="AN33" s="9" t="s">
        <v>104</v>
      </c>
      <c r="AO33" s="20" t="s">
        <v>104</v>
      </c>
      <c r="AP33" s="57">
        <v>321.11</v>
      </c>
      <c r="AQ33" s="57">
        <v>4.53</v>
      </c>
      <c r="AR33" s="67">
        <v>500</v>
      </c>
    </row>
    <row r="34" spans="1:44" x14ac:dyDescent="0.3">
      <c r="A34" s="28" t="s">
        <v>92</v>
      </c>
      <c r="B34" s="11" t="s">
        <v>9</v>
      </c>
      <c r="C34" s="80" t="s">
        <v>12</v>
      </c>
      <c r="D34" s="76">
        <v>133</v>
      </c>
      <c r="E34" s="4">
        <v>13</v>
      </c>
      <c r="F34" s="4">
        <v>146</v>
      </c>
      <c r="G34" s="4">
        <v>544</v>
      </c>
      <c r="H34" s="4">
        <v>144</v>
      </c>
      <c r="I34" s="13">
        <f t="shared" si="0"/>
        <v>3.7260273972602738</v>
      </c>
      <c r="J34" s="14">
        <v>74</v>
      </c>
      <c r="K34" s="15">
        <v>54</v>
      </c>
      <c r="L34" s="37">
        <v>112.94</v>
      </c>
      <c r="M34" s="36">
        <v>118.51</v>
      </c>
      <c r="N34" s="38">
        <v>60.72</v>
      </c>
      <c r="O34" s="21">
        <v>113</v>
      </c>
      <c r="P34" s="17">
        <v>118</v>
      </c>
      <c r="Q34" s="8">
        <v>60.34</v>
      </c>
      <c r="R34" s="39">
        <v>110</v>
      </c>
      <c r="S34" s="46">
        <v>116</v>
      </c>
      <c r="T34" s="38">
        <v>58.96</v>
      </c>
      <c r="U34" s="21">
        <v>106</v>
      </c>
      <c r="V34" s="17">
        <v>114</v>
      </c>
      <c r="W34" s="8">
        <v>56.63</v>
      </c>
      <c r="X34" s="53">
        <v>70.06</v>
      </c>
      <c r="Y34" s="54">
        <v>75.33</v>
      </c>
      <c r="Z34" s="55">
        <v>73.400000000000006</v>
      </c>
      <c r="AA34" s="53">
        <v>73.05</v>
      </c>
      <c r="AB34" s="51">
        <v>3.87</v>
      </c>
      <c r="AC34" s="7">
        <v>3.34</v>
      </c>
      <c r="AD34" s="7">
        <v>3.48</v>
      </c>
      <c r="AE34" s="7">
        <v>3.54</v>
      </c>
      <c r="AF34" s="7">
        <v>3.08</v>
      </c>
      <c r="AG34" s="8">
        <v>2.82</v>
      </c>
      <c r="AH34" s="57">
        <v>322.29000000000002</v>
      </c>
      <c r="AI34" s="57">
        <v>4.46</v>
      </c>
      <c r="AJ34" s="57">
        <v>321.08</v>
      </c>
      <c r="AK34" s="57">
        <v>319.58999999999997</v>
      </c>
      <c r="AL34" s="57">
        <v>318.39999999999998</v>
      </c>
      <c r="AM34" s="59">
        <v>500</v>
      </c>
      <c r="AN34" s="9" t="s">
        <v>104</v>
      </c>
      <c r="AO34" s="20" t="s">
        <v>104</v>
      </c>
      <c r="AP34" s="57">
        <v>322.29000000000002</v>
      </c>
      <c r="AQ34" s="57">
        <v>4.46</v>
      </c>
      <c r="AR34" s="67">
        <v>500</v>
      </c>
    </row>
    <row r="35" spans="1:44" x14ac:dyDescent="0.3">
      <c r="A35" s="28" t="s">
        <v>92</v>
      </c>
      <c r="B35" s="11" t="s">
        <v>15</v>
      </c>
      <c r="C35" s="80" t="s">
        <v>40</v>
      </c>
      <c r="D35" s="76">
        <v>59</v>
      </c>
      <c r="E35" s="4">
        <v>5</v>
      </c>
      <c r="F35" s="4">
        <v>64</v>
      </c>
      <c r="G35" s="4">
        <v>394</v>
      </c>
      <c r="H35" s="4">
        <v>63</v>
      </c>
      <c r="I35" s="13">
        <f t="shared" si="0"/>
        <v>6.15625</v>
      </c>
      <c r="J35" s="14">
        <v>41</v>
      </c>
      <c r="K35" s="15">
        <v>27</v>
      </c>
      <c r="L35" s="37">
        <v>117.89</v>
      </c>
      <c r="M35" s="36">
        <v>110.73</v>
      </c>
      <c r="N35" s="38">
        <v>59.87</v>
      </c>
      <c r="O35" s="21">
        <v>118</v>
      </c>
      <c r="P35" s="17">
        <v>111</v>
      </c>
      <c r="Q35" s="8">
        <v>60.54</v>
      </c>
      <c r="R35" s="39">
        <v>116</v>
      </c>
      <c r="S35" s="46">
        <v>108</v>
      </c>
      <c r="T35" s="38">
        <v>57.81</v>
      </c>
      <c r="U35" s="21">
        <v>113</v>
      </c>
      <c r="V35" s="17">
        <v>105</v>
      </c>
      <c r="W35" s="8">
        <v>55.75</v>
      </c>
      <c r="X35" s="53">
        <v>77.760000000000005</v>
      </c>
      <c r="Y35" s="54">
        <v>61.24</v>
      </c>
      <c r="Z35" s="55">
        <v>78.489999999999995</v>
      </c>
      <c r="AA35" s="53">
        <v>74</v>
      </c>
      <c r="AB35" s="51">
        <v>3.29</v>
      </c>
      <c r="AC35" s="7">
        <v>4.32</v>
      </c>
      <c r="AD35" s="7">
        <v>3.07</v>
      </c>
      <c r="AE35" s="7">
        <v>3.44</v>
      </c>
      <c r="AF35" s="7">
        <v>3.02</v>
      </c>
      <c r="AG35" s="8">
        <v>2.75</v>
      </c>
      <c r="AH35" s="57">
        <v>318.95999999999998</v>
      </c>
      <c r="AI35" s="57">
        <v>4.0599999999999996</v>
      </c>
      <c r="AJ35" s="57">
        <v>317.88</v>
      </c>
      <c r="AK35" s="57">
        <v>316.72000000000003</v>
      </c>
      <c r="AL35" s="57">
        <v>316.08999999999997</v>
      </c>
      <c r="AM35" s="59">
        <v>500</v>
      </c>
      <c r="AN35" s="9" t="s">
        <v>104</v>
      </c>
      <c r="AO35" s="20" t="s">
        <v>104</v>
      </c>
      <c r="AP35" s="57">
        <v>318.95999999999998</v>
      </c>
      <c r="AQ35" s="57">
        <v>4.0599999999999996</v>
      </c>
      <c r="AR35" s="67">
        <v>500</v>
      </c>
    </row>
    <row r="36" spans="1:44" x14ac:dyDescent="0.3">
      <c r="A36" s="28" t="s">
        <v>92</v>
      </c>
      <c r="B36" s="11" t="s">
        <v>21</v>
      </c>
      <c r="C36" s="80" t="s">
        <v>43</v>
      </c>
      <c r="D36" s="76">
        <v>15</v>
      </c>
      <c r="E36" s="4">
        <v>1</v>
      </c>
      <c r="F36" s="4">
        <v>16</v>
      </c>
      <c r="G36" s="4">
        <v>97</v>
      </c>
      <c r="H36" s="4">
        <v>16</v>
      </c>
      <c r="I36" s="13">
        <f t="shared" si="0"/>
        <v>6.0625</v>
      </c>
      <c r="J36" s="14">
        <v>5</v>
      </c>
      <c r="K36" s="15">
        <v>5</v>
      </c>
      <c r="L36" s="37">
        <v>137.38</v>
      </c>
      <c r="M36" s="36">
        <v>130.81</v>
      </c>
      <c r="N36" s="38">
        <v>65.25</v>
      </c>
      <c r="O36" s="21">
        <v>138</v>
      </c>
      <c r="P36" s="17">
        <v>130</v>
      </c>
      <c r="Q36" s="8">
        <v>65.540000000000006</v>
      </c>
      <c r="R36" s="39">
        <v>137</v>
      </c>
      <c r="S36" s="46">
        <v>130</v>
      </c>
      <c r="T36" s="38">
        <v>64.94</v>
      </c>
      <c r="U36" s="21">
        <v>134</v>
      </c>
      <c r="V36" s="17">
        <v>128</v>
      </c>
      <c r="W36" s="8">
        <v>63.9</v>
      </c>
      <c r="X36" s="53">
        <v>97.5</v>
      </c>
      <c r="Y36" s="54">
        <v>96.88</v>
      </c>
      <c r="Z36" s="55">
        <v>92.03</v>
      </c>
      <c r="AA36" s="53">
        <v>94.61</v>
      </c>
      <c r="AB36" s="51">
        <v>1.19</v>
      </c>
      <c r="AC36" s="7">
        <v>1.19</v>
      </c>
      <c r="AD36" s="7">
        <v>1.78</v>
      </c>
      <c r="AE36" s="7">
        <v>1.48</v>
      </c>
      <c r="AF36" s="7">
        <v>1.44</v>
      </c>
      <c r="AG36" s="8">
        <v>1.19</v>
      </c>
      <c r="AH36" s="57">
        <v>365.41</v>
      </c>
      <c r="AI36" s="57">
        <v>1.23</v>
      </c>
      <c r="AJ36" s="57">
        <v>365.81</v>
      </c>
      <c r="AK36" s="57">
        <v>365.1</v>
      </c>
      <c r="AL36" s="57">
        <v>364</v>
      </c>
      <c r="AM36" s="59">
        <v>500</v>
      </c>
      <c r="AN36" s="9" t="s">
        <v>104</v>
      </c>
      <c r="AO36" s="20" t="s">
        <v>104</v>
      </c>
      <c r="AP36" s="57">
        <v>365.41</v>
      </c>
      <c r="AQ36" s="57">
        <v>1.23</v>
      </c>
      <c r="AR36" s="67">
        <v>500</v>
      </c>
    </row>
    <row r="37" spans="1:44" x14ac:dyDescent="0.3">
      <c r="A37" s="28" t="s">
        <v>92</v>
      </c>
      <c r="B37" s="11" t="s">
        <v>23</v>
      </c>
      <c r="C37" s="80" t="s">
        <v>44</v>
      </c>
      <c r="D37" s="76">
        <v>9</v>
      </c>
      <c r="E37" s="4">
        <v>0</v>
      </c>
      <c r="F37" s="4">
        <v>9</v>
      </c>
      <c r="G37" s="4">
        <v>58</v>
      </c>
      <c r="H37" s="4">
        <v>9</v>
      </c>
      <c r="I37" s="13">
        <f t="shared" si="0"/>
        <v>6.4444444444444446</v>
      </c>
      <c r="J37" s="14">
        <v>4</v>
      </c>
      <c r="K37" s="15">
        <v>3</v>
      </c>
      <c r="L37" s="37">
        <v>138.11000000000001</v>
      </c>
      <c r="M37" s="36">
        <v>132.66999999999999</v>
      </c>
      <c r="N37" s="38">
        <v>64.11</v>
      </c>
      <c r="O37" s="21">
        <v>139</v>
      </c>
      <c r="P37" s="17">
        <v>133</v>
      </c>
      <c r="Q37" s="8">
        <v>64.069999999999993</v>
      </c>
      <c r="R37" s="39">
        <v>137</v>
      </c>
      <c r="S37" s="46">
        <v>130</v>
      </c>
      <c r="T37" s="38">
        <v>63.41</v>
      </c>
      <c r="U37" s="21">
        <v>137</v>
      </c>
      <c r="V37" s="17">
        <v>130</v>
      </c>
      <c r="W37" s="8">
        <v>63.39</v>
      </c>
      <c r="X37" s="53">
        <v>98.22</v>
      </c>
      <c r="Y37" s="54">
        <v>98.44</v>
      </c>
      <c r="Z37" s="55">
        <v>89.5</v>
      </c>
      <c r="AA37" s="53">
        <v>93.92</v>
      </c>
      <c r="AB37" s="51">
        <v>1</v>
      </c>
      <c r="AC37" s="7">
        <v>1</v>
      </c>
      <c r="AD37" s="7">
        <v>2.11</v>
      </c>
      <c r="AE37" s="7">
        <v>1.56</v>
      </c>
      <c r="AF37" s="7">
        <v>1.56</v>
      </c>
      <c r="AG37" s="8">
        <v>1.67</v>
      </c>
      <c r="AH37" s="57">
        <v>365.74</v>
      </c>
      <c r="AI37" s="57">
        <v>0.73</v>
      </c>
      <c r="AJ37" s="57">
        <v>365.91</v>
      </c>
      <c r="AK37" s="57">
        <v>365.83</v>
      </c>
      <c r="AL37" s="57">
        <v>365.36</v>
      </c>
      <c r="AM37" s="59">
        <v>500</v>
      </c>
      <c r="AN37" s="9" t="s">
        <v>104</v>
      </c>
      <c r="AO37" s="20" t="s">
        <v>104</v>
      </c>
      <c r="AP37" s="57">
        <v>365.74</v>
      </c>
      <c r="AQ37" s="57">
        <v>0.73</v>
      </c>
      <c r="AR37" s="67">
        <v>500</v>
      </c>
    </row>
    <row r="38" spans="1:44" x14ac:dyDescent="0.3">
      <c r="A38" s="28" t="s">
        <v>92</v>
      </c>
      <c r="B38" s="11" t="s">
        <v>27</v>
      </c>
      <c r="C38" s="80" t="s">
        <v>49</v>
      </c>
      <c r="D38" s="76">
        <v>28</v>
      </c>
      <c r="E38" s="4">
        <v>1</v>
      </c>
      <c r="F38" s="4">
        <v>29</v>
      </c>
      <c r="G38" s="4">
        <v>109</v>
      </c>
      <c r="H38" s="4">
        <v>29</v>
      </c>
      <c r="I38" s="13">
        <f t="shared" si="0"/>
        <v>3.7586206896551726</v>
      </c>
      <c r="J38" s="14">
        <v>17</v>
      </c>
      <c r="K38" s="15">
        <v>13</v>
      </c>
      <c r="L38" s="37">
        <v>140.97</v>
      </c>
      <c r="M38" s="36">
        <v>134.93</v>
      </c>
      <c r="N38" s="38">
        <v>66.319999999999993</v>
      </c>
      <c r="O38" s="21">
        <v>142</v>
      </c>
      <c r="P38" s="17">
        <v>136</v>
      </c>
      <c r="Q38" s="8">
        <v>66.400000000000006</v>
      </c>
      <c r="R38" s="39">
        <v>140</v>
      </c>
      <c r="S38" s="46">
        <v>133</v>
      </c>
      <c r="T38" s="38">
        <v>66.13</v>
      </c>
      <c r="U38" s="21">
        <v>138</v>
      </c>
      <c r="V38" s="17">
        <v>133</v>
      </c>
      <c r="W38" s="8">
        <v>65.34</v>
      </c>
      <c r="X38" s="53">
        <v>99</v>
      </c>
      <c r="Y38" s="54">
        <v>99.28</v>
      </c>
      <c r="Z38" s="55">
        <v>94.21</v>
      </c>
      <c r="AA38" s="53">
        <v>96.67</v>
      </c>
      <c r="AB38" s="51">
        <v>1.03</v>
      </c>
      <c r="AC38" s="7">
        <v>1</v>
      </c>
      <c r="AD38" s="7">
        <v>1.52</v>
      </c>
      <c r="AE38" s="7">
        <v>1.27</v>
      </c>
      <c r="AF38" s="7">
        <v>1.55</v>
      </c>
      <c r="AG38" s="8">
        <v>1.55</v>
      </c>
      <c r="AH38" s="57">
        <v>373.48</v>
      </c>
      <c r="AI38" s="57">
        <v>0.81</v>
      </c>
      <c r="AJ38" s="57">
        <v>373.76</v>
      </c>
      <c r="AK38" s="57">
        <v>373.02</v>
      </c>
      <c r="AL38" s="57">
        <v>372.6</v>
      </c>
      <c r="AM38" s="59">
        <v>500</v>
      </c>
      <c r="AN38" s="9" t="s">
        <v>104</v>
      </c>
      <c r="AO38" s="20" t="s">
        <v>104</v>
      </c>
      <c r="AP38" s="57">
        <v>373.48</v>
      </c>
      <c r="AQ38" s="57">
        <v>0.81</v>
      </c>
      <c r="AR38" s="67">
        <v>500</v>
      </c>
    </row>
    <row r="39" spans="1:44" x14ac:dyDescent="0.3">
      <c r="A39" s="28" t="s">
        <v>92</v>
      </c>
      <c r="B39" s="11" t="s">
        <v>35</v>
      </c>
      <c r="C39" s="80" t="s">
        <v>58</v>
      </c>
      <c r="D39" s="76">
        <v>23</v>
      </c>
      <c r="E39" s="4">
        <v>0</v>
      </c>
      <c r="F39" s="4">
        <v>23</v>
      </c>
      <c r="G39" s="4">
        <v>167</v>
      </c>
      <c r="H39" s="4">
        <v>20</v>
      </c>
      <c r="I39" s="13">
        <f t="shared" si="0"/>
        <v>7.2608695652173916</v>
      </c>
      <c r="J39" s="14">
        <v>6</v>
      </c>
      <c r="K39" s="15">
        <v>6</v>
      </c>
      <c r="L39" s="37">
        <v>111.55</v>
      </c>
      <c r="M39" s="36">
        <v>114.8</v>
      </c>
      <c r="N39" s="38">
        <v>57.7</v>
      </c>
      <c r="O39" s="21">
        <v>112</v>
      </c>
      <c r="P39" s="17">
        <v>115</v>
      </c>
      <c r="Q39" s="8">
        <v>58.84</v>
      </c>
      <c r="R39" s="39">
        <v>108</v>
      </c>
      <c r="S39" s="46">
        <v>114</v>
      </c>
      <c r="T39" s="38">
        <v>56.77</v>
      </c>
      <c r="U39" s="21">
        <v>107</v>
      </c>
      <c r="V39" s="17">
        <v>111</v>
      </c>
      <c r="W39" s="8">
        <v>52.73</v>
      </c>
      <c r="X39" s="53">
        <v>67.95</v>
      </c>
      <c r="Y39" s="54">
        <v>68.349999999999994</v>
      </c>
      <c r="Z39" s="55">
        <v>72.63</v>
      </c>
      <c r="AA39" s="53">
        <v>70.39</v>
      </c>
      <c r="AB39" s="51">
        <v>4</v>
      </c>
      <c r="AC39" s="7">
        <v>3.8</v>
      </c>
      <c r="AD39" s="7">
        <v>3.63</v>
      </c>
      <c r="AE39" s="7">
        <v>3.76</v>
      </c>
      <c r="AF39" s="7">
        <v>3.3</v>
      </c>
      <c r="AG39" s="8">
        <v>3</v>
      </c>
      <c r="AH39" s="57">
        <v>310.81</v>
      </c>
      <c r="AI39" s="57">
        <v>4.3899999999999997</v>
      </c>
      <c r="AJ39" s="57">
        <v>309.77999999999997</v>
      </c>
      <c r="AK39" s="57">
        <v>308.61</v>
      </c>
      <c r="AL39" s="57">
        <v>308.23</v>
      </c>
      <c r="AM39" s="59">
        <v>500</v>
      </c>
      <c r="AN39" s="9" t="s">
        <v>104</v>
      </c>
      <c r="AO39" s="20" t="s">
        <v>104</v>
      </c>
      <c r="AP39" s="57">
        <v>310.81</v>
      </c>
      <c r="AQ39" s="57">
        <v>4.3899999999999997</v>
      </c>
      <c r="AR39" s="67">
        <v>500</v>
      </c>
    </row>
    <row r="40" spans="1:44" x14ac:dyDescent="0.3">
      <c r="A40" s="28" t="s">
        <v>92</v>
      </c>
      <c r="B40" s="11" t="s">
        <v>37</v>
      </c>
      <c r="C40" s="80" t="s">
        <v>59</v>
      </c>
      <c r="D40" s="76">
        <v>34</v>
      </c>
      <c r="E40" s="4">
        <v>3</v>
      </c>
      <c r="F40" s="4">
        <v>37</v>
      </c>
      <c r="G40" s="4">
        <v>233</v>
      </c>
      <c r="H40" s="4">
        <v>35</v>
      </c>
      <c r="I40" s="13">
        <f t="shared" si="0"/>
        <v>6.2972972972972974</v>
      </c>
      <c r="J40" s="14">
        <v>19</v>
      </c>
      <c r="K40" s="15">
        <v>11</v>
      </c>
      <c r="L40" s="37">
        <v>120.06</v>
      </c>
      <c r="M40" s="36">
        <v>115.69</v>
      </c>
      <c r="N40" s="38">
        <v>59.38</v>
      </c>
      <c r="O40" s="21">
        <v>119</v>
      </c>
      <c r="P40" s="17">
        <v>117</v>
      </c>
      <c r="Q40" s="8">
        <v>59.66</v>
      </c>
      <c r="R40" s="39">
        <v>118</v>
      </c>
      <c r="S40" s="46">
        <v>114</v>
      </c>
      <c r="T40" s="38">
        <v>58.05</v>
      </c>
      <c r="U40" s="21">
        <v>116</v>
      </c>
      <c r="V40" s="17">
        <v>111</v>
      </c>
      <c r="W40" s="8">
        <v>56.64</v>
      </c>
      <c r="X40" s="53">
        <v>80.77</v>
      </c>
      <c r="Y40" s="54">
        <v>69.739999999999995</v>
      </c>
      <c r="Z40" s="55">
        <v>77.23</v>
      </c>
      <c r="AA40" s="53">
        <v>76.239999999999995</v>
      </c>
      <c r="AB40" s="51">
        <v>3.06</v>
      </c>
      <c r="AC40" s="7">
        <v>3.74</v>
      </c>
      <c r="AD40" s="7">
        <v>3.17</v>
      </c>
      <c r="AE40" s="7">
        <v>3.29</v>
      </c>
      <c r="AF40" s="7">
        <v>3.06</v>
      </c>
      <c r="AG40" s="8">
        <v>2.71</v>
      </c>
      <c r="AH40" s="57">
        <v>324.18</v>
      </c>
      <c r="AI40" s="57">
        <v>3.92</v>
      </c>
      <c r="AJ40" s="57">
        <v>323.75</v>
      </c>
      <c r="AK40" s="57">
        <v>321.72000000000003</v>
      </c>
      <c r="AL40" s="57">
        <v>321.16000000000003</v>
      </c>
      <c r="AM40" s="59">
        <v>500</v>
      </c>
      <c r="AN40" s="9" t="s">
        <v>104</v>
      </c>
      <c r="AO40" s="20" t="s">
        <v>104</v>
      </c>
      <c r="AP40" s="57">
        <v>324.18</v>
      </c>
      <c r="AQ40" s="57">
        <v>3.92</v>
      </c>
      <c r="AR40" s="67">
        <v>500</v>
      </c>
    </row>
    <row r="41" spans="1:44" x14ac:dyDescent="0.3">
      <c r="A41" s="28" t="s">
        <v>92</v>
      </c>
      <c r="B41" s="11" t="s">
        <v>37</v>
      </c>
      <c r="C41" s="80" t="s">
        <v>60</v>
      </c>
      <c r="D41" s="76">
        <v>8</v>
      </c>
      <c r="E41" s="4">
        <v>0</v>
      </c>
      <c r="F41" s="4">
        <v>8</v>
      </c>
      <c r="G41" s="4">
        <v>94</v>
      </c>
      <c r="H41" s="4">
        <v>8</v>
      </c>
      <c r="I41" s="13">
        <f t="shared" si="0"/>
        <v>11.75</v>
      </c>
      <c r="J41" s="14">
        <v>6</v>
      </c>
      <c r="K41" s="15">
        <v>4</v>
      </c>
      <c r="L41" s="37">
        <v>117.88</v>
      </c>
      <c r="M41" s="36">
        <v>112.25</v>
      </c>
      <c r="N41" s="38">
        <v>56.92</v>
      </c>
      <c r="O41" s="21">
        <v>121</v>
      </c>
      <c r="P41" s="17">
        <v>108</v>
      </c>
      <c r="Q41" s="8">
        <v>58.5</v>
      </c>
      <c r="R41" s="39">
        <v>116</v>
      </c>
      <c r="S41" s="46">
        <v>108</v>
      </c>
      <c r="T41" s="38">
        <v>57.99</v>
      </c>
      <c r="U41" s="21">
        <v>115</v>
      </c>
      <c r="V41" s="17">
        <v>108</v>
      </c>
      <c r="W41" s="8">
        <v>54.96</v>
      </c>
      <c r="X41" s="53">
        <v>77.75</v>
      </c>
      <c r="Y41" s="54">
        <v>64.63</v>
      </c>
      <c r="Z41" s="55">
        <v>70.75</v>
      </c>
      <c r="AA41" s="53">
        <v>70.97</v>
      </c>
      <c r="AB41" s="51">
        <v>3.38</v>
      </c>
      <c r="AC41" s="7">
        <v>4.25</v>
      </c>
      <c r="AD41" s="7">
        <v>3.56</v>
      </c>
      <c r="AE41" s="7">
        <v>3.69</v>
      </c>
      <c r="AF41" s="7">
        <v>3.38</v>
      </c>
      <c r="AG41" s="8">
        <v>2</v>
      </c>
      <c r="AH41" s="57">
        <v>314.19</v>
      </c>
      <c r="AI41" s="57">
        <v>0.92</v>
      </c>
      <c r="AJ41" s="57">
        <v>314.24</v>
      </c>
      <c r="AK41" s="57">
        <v>314.19</v>
      </c>
      <c r="AL41" s="57">
        <v>313.83999999999997</v>
      </c>
      <c r="AM41" s="59">
        <v>500</v>
      </c>
      <c r="AN41" s="9" t="s">
        <v>104</v>
      </c>
      <c r="AO41" s="20" t="s">
        <v>104</v>
      </c>
      <c r="AP41" s="57">
        <v>314.19</v>
      </c>
      <c r="AQ41" s="57">
        <v>0.92</v>
      </c>
      <c r="AR41" s="67">
        <v>500</v>
      </c>
    </row>
    <row r="42" spans="1:44" x14ac:dyDescent="0.3">
      <c r="A42" s="28" t="s">
        <v>92</v>
      </c>
      <c r="B42" s="11" t="s">
        <v>37</v>
      </c>
      <c r="C42" s="80" t="s">
        <v>85</v>
      </c>
      <c r="D42" s="76">
        <v>6</v>
      </c>
      <c r="E42" s="4">
        <v>0</v>
      </c>
      <c r="F42" s="4">
        <v>6</v>
      </c>
      <c r="G42" s="4">
        <v>40</v>
      </c>
      <c r="H42" s="4">
        <v>6</v>
      </c>
      <c r="I42" s="13">
        <f t="shared" si="0"/>
        <v>6.666666666666667</v>
      </c>
      <c r="J42" s="14">
        <v>1</v>
      </c>
      <c r="K42" s="15">
        <v>1</v>
      </c>
      <c r="L42" s="37">
        <v>113.83</v>
      </c>
      <c r="M42" s="36">
        <v>120.83</v>
      </c>
      <c r="N42" s="38">
        <v>60.61</v>
      </c>
      <c r="O42" s="21">
        <v>117</v>
      </c>
      <c r="P42" s="17">
        <v>121</v>
      </c>
      <c r="Q42" s="8">
        <v>62.38</v>
      </c>
      <c r="R42" s="39">
        <v>114</v>
      </c>
      <c r="S42" s="46">
        <v>120</v>
      </c>
      <c r="T42" s="38">
        <v>58.33</v>
      </c>
      <c r="U42" s="21">
        <v>109</v>
      </c>
      <c r="V42" s="17">
        <v>119</v>
      </c>
      <c r="W42" s="8">
        <v>57.95</v>
      </c>
      <c r="X42" s="53">
        <v>71.5</v>
      </c>
      <c r="Y42" s="54">
        <v>80.67</v>
      </c>
      <c r="Z42" s="55">
        <v>73.75</v>
      </c>
      <c r="AA42" s="53">
        <v>74.92</v>
      </c>
      <c r="AB42" s="51">
        <v>3.67</v>
      </c>
      <c r="AC42" s="7">
        <v>2.83</v>
      </c>
      <c r="AD42" s="7">
        <v>3.42</v>
      </c>
      <c r="AE42" s="7">
        <v>3.33</v>
      </c>
      <c r="AF42" s="7">
        <v>3.33</v>
      </c>
      <c r="AG42" s="8">
        <v>3</v>
      </c>
      <c r="AH42" s="57">
        <v>324.13</v>
      </c>
      <c r="AI42" s="57">
        <v>2.04</v>
      </c>
      <c r="AJ42" s="57">
        <v>324.33</v>
      </c>
      <c r="AK42" s="57">
        <v>323.24</v>
      </c>
      <c r="AL42" s="57">
        <v>322.44</v>
      </c>
      <c r="AM42" s="59">
        <v>500</v>
      </c>
      <c r="AN42" s="9" t="s">
        <v>104</v>
      </c>
      <c r="AO42" s="20" t="s">
        <v>104</v>
      </c>
      <c r="AP42" s="57">
        <v>324.13</v>
      </c>
      <c r="AQ42" s="57">
        <v>2.04</v>
      </c>
      <c r="AR42" s="67">
        <v>500</v>
      </c>
    </row>
    <row r="43" spans="1:44" x14ac:dyDescent="0.3">
      <c r="A43" s="28" t="s">
        <v>92</v>
      </c>
      <c r="B43" s="11" t="s">
        <v>37</v>
      </c>
      <c r="C43" s="80" t="s">
        <v>86</v>
      </c>
      <c r="D43" s="76">
        <v>4</v>
      </c>
      <c r="E43" s="4">
        <v>0</v>
      </c>
      <c r="F43" s="4">
        <v>4</v>
      </c>
      <c r="G43" s="4">
        <v>41</v>
      </c>
      <c r="H43" s="4">
        <v>4</v>
      </c>
      <c r="I43" s="13">
        <f t="shared" si="0"/>
        <v>10.25</v>
      </c>
      <c r="J43" s="14">
        <v>1</v>
      </c>
      <c r="K43" s="15">
        <v>1</v>
      </c>
      <c r="L43" s="37">
        <v>114.75</v>
      </c>
      <c r="M43" s="36">
        <v>120.5</v>
      </c>
      <c r="N43" s="38">
        <v>62.33</v>
      </c>
      <c r="O43" s="21">
        <v>119</v>
      </c>
      <c r="P43" s="17">
        <v>123</v>
      </c>
      <c r="Q43" s="8">
        <v>63.27</v>
      </c>
      <c r="R43" s="39">
        <v>119</v>
      </c>
      <c r="S43" s="46">
        <v>123</v>
      </c>
      <c r="T43" s="38">
        <v>63.27</v>
      </c>
      <c r="U43" s="21">
        <v>110</v>
      </c>
      <c r="V43" s="17">
        <v>121</v>
      </c>
      <c r="W43" s="8">
        <v>61.56</v>
      </c>
      <c r="X43" s="53">
        <v>72.75</v>
      </c>
      <c r="Y43" s="54">
        <v>80</v>
      </c>
      <c r="Z43" s="55">
        <v>83.63</v>
      </c>
      <c r="AA43" s="53">
        <v>80</v>
      </c>
      <c r="AB43" s="51">
        <v>3.75</v>
      </c>
      <c r="AC43" s="7">
        <v>3</v>
      </c>
      <c r="AD43" s="7">
        <v>2.88</v>
      </c>
      <c r="AE43" s="7">
        <v>3.13</v>
      </c>
      <c r="AF43" s="7">
        <v>2.75</v>
      </c>
      <c r="AG43" s="8">
        <v>2.5</v>
      </c>
      <c r="AH43" s="57">
        <v>329.81</v>
      </c>
      <c r="AI43" s="57">
        <v>4.76</v>
      </c>
      <c r="AJ43" s="57">
        <v>327.84</v>
      </c>
      <c r="AK43" s="57">
        <v>327.84</v>
      </c>
      <c r="AL43" s="57">
        <v>327.14999999999998</v>
      </c>
      <c r="AM43" s="59">
        <v>500</v>
      </c>
      <c r="AN43" s="9" t="s">
        <v>104</v>
      </c>
      <c r="AO43" s="20" t="s">
        <v>104</v>
      </c>
      <c r="AP43" s="57">
        <v>329.81</v>
      </c>
      <c r="AQ43" s="57">
        <v>4.76</v>
      </c>
      <c r="AR43" s="67">
        <v>500</v>
      </c>
    </row>
    <row r="44" spans="1:44" x14ac:dyDescent="0.3">
      <c r="A44" s="28" t="s">
        <v>93</v>
      </c>
      <c r="B44" s="11" t="s">
        <v>33</v>
      </c>
      <c r="C44" s="80" t="s">
        <v>57</v>
      </c>
      <c r="D44" s="76">
        <v>5</v>
      </c>
      <c r="E44" s="4">
        <v>0</v>
      </c>
      <c r="F44" s="4">
        <v>5</v>
      </c>
      <c r="G44" s="4">
        <v>47</v>
      </c>
      <c r="H44" s="4">
        <v>5</v>
      </c>
      <c r="I44" s="13">
        <f t="shared" si="0"/>
        <v>9.4</v>
      </c>
      <c r="J44" s="14">
        <v>12</v>
      </c>
      <c r="K44" s="15">
        <v>4</v>
      </c>
      <c r="L44" s="37">
        <v>137</v>
      </c>
      <c r="M44" s="36">
        <v>128.6</v>
      </c>
      <c r="N44" s="38">
        <v>65.150000000000006</v>
      </c>
      <c r="O44" s="21">
        <v>141</v>
      </c>
      <c r="P44" s="17">
        <v>130</v>
      </c>
      <c r="Q44" s="8">
        <v>66.22</v>
      </c>
      <c r="R44" s="39">
        <v>134</v>
      </c>
      <c r="S44" s="46">
        <v>128</v>
      </c>
      <c r="T44" s="38">
        <v>64.77</v>
      </c>
      <c r="U44" s="21">
        <v>134</v>
      </c>
      <c r="V44" s="17">
        <v>127</v>
      </c>
      <c r="W44" s="8">
        <v>64.42</v>
      </c>
      <c r="X44" s="53">
        <v>97.2</v>
      </c>
      <c r="Y44" s="54">
        <v>95.8</v>
      </c>
      <c r="Z44" s="55">
        <v>91.7</v>
      </c>
      <c r="AA44" s="53">
        <v>94.1</v>
      </c>
      <c r="AB44" s="51">
        <v>1</v>
      </c>
      <c r="AC44" s="7">
        <v>1.4</v>
      </c>
      <c r="AD44" s="7">
        <v>2</v>
      </c>
      <c r="AE44" s="7">
        <v>1.6</v>
      </c>
      <c r="AF44" s="7">
        <v>1.6</v>
      </c>
      <c r="AG44" s="8">
        <v>2.2000000000000002</v>
      </c>
      <c r="AH44" s="57">
        <v>362.28</v>
      </c>
      <c r="AI44" s="57">
        <v>2.31</v>
      </c>
      <c r="AJ44" s="57">
        <v>361.9</v>
      </c>
      <c r="AK44" s="57">
        <v>361.84</v>
      </c>
      <c r="AL44" s="57">
        <v>360.83</v>
      </c>
      <c r="AM44" s="59">
        <v>500</v>
      </c>
      <c r="AN44" s="9" t="s">
        <v>104</v>
      </c>
      <c r="AO44" s="20" t="s">
        <v>104</v>
      </c>
      <c r="AP44" s="57">
        <v>362.28</v>
      </c>
      <c r="AQ44" s="57">
        <v>2.31</v>
      </c>
      <c r="AR44" s="67">
        <v>500</v>
      </c>
    </row>
    <row r="45" spans="1:44" x14ac:dyDescent="0.3">
      <c r="A45" s="28" t="s">
        <v>94</v>
      </c>
      <c r="B45" s="11" t="s">
        <v>27</v>
      </c>
      <c r="C45" s="80" t="s">
        <v>49</v>
      </c>
      <c r="D45" s="76">
        <v>28</v>
      </c>
      <c r="E45" s="4">
        <v>0</v>
      </c>
      <c r="F45" s="4">
        <v>28</v>
      </c>
      <c r="G45" s="4">
        <v>93</v>
      </c>
      <c r="H45" s="4">
        <v>28</v>
      </c>
      <c r="I45" s="13">
        <f t="shared" si="0"/>
        <v>3.3214285714285716</v>
      </c>
      <c r="J45" s="14">
        <v>1</v>
      </c>
      <c r="K45" s="15">
        <v>1</v>
      </c>
      <c r="L45" s="37">
        <v>139.54</v>
      </c>
      <c r="M45" s="36">
        <v>129.96</v>
      </c>
      <c r="N45" s="38">
        <v>66.13</v>
      </c>
      <c r="O45" s="21">
        <v>140</v>
      </c>
      <c r="P45" s="17">
        <v>130</v>
      </c>
      <c r="Q45" s="8">
        <v>66.27</v>
      </c>
      <c r="R45" s="39">
        <v>139</v>
      </c>
      <c r="S45" s="46">
        <v>127</v>
      </c>
      <c r="T45" s="38">
        <v>65.02</v>
      </c>
      <c r="U45" s="21">
        <v>136</v>
      </c>
      <c r="V45" s="17">
        <v>127</v>
      </c>
      <c r="W45" s="8">
        <v>64.650000000000006</v>
      </c>
      <c r="X45" s="53">
        <v>98.14</v>
      </c>
      <c r="Y45" s="54">
        <v>95.75</v>
      </c>
      <c r="Z45" s="55">
        <v>93.52</v>
      </c>
      <c r="AA45" s="53">
        <v>95.23</v>
      </c>
      <c r="AB45" s="51">
        <v>1.07</v>
      </c>
      <c r="AC45" s="7">
        <v>1.39</v>
      </c>
      <c r="AD45" s="7">
        <v>1.64</v>
      </c>
      <c r="AE45" s="7">
        <v>1.44</v>
      </c>
      <c r="AF45" s="7">
        <v>1.64</v>
      </c>
      <c r="AG45" s="8">
        <v>1.25</v>
      </c>
      <c r="AH45" s="57">
        <v>366.89</v>
      </c>
      <c r="AI45" s="57">
        <v>2.46</v>
      </c>
      <c r="AJ45" s="57">
        <v>366.75</v>
      </c>
      <c r="AK45" s="57">
        <v>366.01</v>
      </c>
      <c r="AL45" s="57">
        <v>365.1</v>
      </c>
      <c r="AM45" s="59">
        <v>500</v>
      </c>
      <c r="AN45" s="9" t="s">
        <v>104</v>
      </c>
      <c r="AO45" s="20" t="s">
        <v>104</v>
      </c>
      <c r="AP45" s="57">
        <v>366.89</v>
      </c>
      <c r="AQ45" s="57">
        <v>2.46</v>
      </c>
      <c r="AR45" s="67">
        <v>500</v>
      </c>
    </row>
    <row r="46" spans="1:44" x14ac:dyDescent="0.3">
      <c r="A46" s="28" t="s">
        <v>95</v>
      </c>
      <c r="B46" s="11" t="s">
        <v>13</v>
      </c>
      <c r="C46" s="80" t="s">
        <v>39</v>
      </c>
      <c r="D46" s="76">
        <v>17</v>
      </c>
      <c r="E46" s="4">
        <v>2</v>
      </c>
      <c r="F46" s="4">
        <v>19</v>
      </c>
      <c r="G46" s="4">
        <v>60</v>
      </c>
      <c r="H46" s="4">
        <v>19</v>
      </c>
      <c r="I46" s="13">
        <f t="shared" si="0"/>
        <v>3.1578947368421053</v>
      </c>
      <c r="J46" s="14">
        <v>3</v>
      </c>
      <c r="K46" s="15">
        <v>2</v>
      </c>
      <c r="L46" s="37">
        <v>113.11</v>
      </c>
      <c r="M46" s="36">
        <v>110.68</v>
      </c>
      <c r="N46" s="38">
        <v>58.69</v>
      </c>
      <c r="O46" s="21">
        <v>113</v>
      </c>
      <c r="P46" s="17">
        <v>115</v>
      </c>
      <c r="Q46" s="8">
        <v>59.82</v>
      </c>
      <c r="R46" s="39">
        <v>111</v>
      </c>
      <c r="S46" s="46">
        <v>110</v>
      </c>
      <c r="T46" s="38">
        <v>55.64</v>
      </c>
      <c r="U46" s="21">
        <v>106</v>
      </c>
      <c r="V46" s="17">
        <v>102</v>
      </c>
      <c r="W46" s="8">
        <v>55.12</v>
      </c>
      <c r="X46" s="53">
        <v>70.47</v>
      </c>
      <c r="Y46" s="54">
        <v>63.37</v>
      </c>
      <c r="Z46" s="55">
        <v>75.53</v>
      </c>
      <c r="AA46" s="53">
        <v>71.22</v>
      </c>
      <c r="AB46" s="51">
        <v>3.89</v>
      </c>
      <c r="AC46" s="7">
        <v>4.21</v>
      </c>
      <c r="AD46" s="7">
        <v>3.37</v>
      </c>
      <c r="AE46" s="7">
        <v>3.71</v>
      </c>
      <c r="AF46" s="7">
        <v>3.42</v>
      </c>
      <c r="AG46" s="8">
        <v>4.63</v>
      </c>
      <c r="AH46" s="57">
        <v>505.25</v>
      </c>
      <c r="AI46" s="57">
        <v>13.92</v>
      </c>
      <c r="AJ46" s="57">
        <v>504.56</v>
      </c>
      <c r="AK46" s="57">
        <v>496.33</v>
      </c>
      <c r="AL46" s="57">
        <v>491.44</v>
      </c>
      <c r="AM46" s="59">
        <v>850</v>
      </c>
      <c r="AN46" s="9">
        <v>138.75</v>
      </c>
      <c r="AO46" s="24">
        <v>150</v>
      </c>
      <c r="AP46" s="57">
        <v>644</v>
      </c>
      <c r="AQ46" s="57">
        <v>11.11</v>
      </c>
      <c r="AR46" s="68">
        <v>1000</v>
      </c>
    </row>
    <row r="47" spans="1:44" x14ac:dyDescent="0.3">
      <c r="A47" s="28" t="s">
        <v>95</v>
      </c>
      <c r="B47" s="11" t="s">
        <v>25</v>
      </c>
      <c r="C47" s="80" t="s">
        <v>45</v>
      </c>
      <c r="D47" s="77"/>
      <c r="E47" s="4">
        <v>2</v>
      </c>
      <c r="F47" s="4">
        <v>2</v>
      </c>
      <c r="G47" s="4">
        <v>4</v>
      </c>
      <c r="H47" s="4">
        <v>2</v>
      </c>
      <c r="I47" s="13">
        <f t="shared" si="0"/>
        <v>2</v>
      </c>
      <c r="J47" s="14">
        <v>2</v>
      </c>
      <c r="K47" s="15">
        <v>1</v>
      </c>
      <c r="L47" s="37">
        <v>83</v>
      </c>
      <c r="M47" s="36" t="s">
        <v>104</v>
      </c>
      <c r="N47" s="38">
        <v>37.229999999999997</v>
      </c>
      <c r="O47" s="21" t="s">
        <v>116</v>
      </c>
      <c r="P47" s="7" t="s">
        <v>104</v>
      </c>
      <c r="Q47" s="8" t="s">
        <v>116</v>
      </c>
      <c r="R47" s="39" t="s">
        <v>116</v>
      </c>
      <c r="S47" s="36" t="s">
        <v>104</v>
      </c>
      <c r="T47" s="38" t="s">
        <v>116</v>
      </c>
      <c r="U47" s="21" t="s">
        <v>116</v>
      </c>
      <c r="V47" s="7" t="s">
        <v>104</v>
      </c>
      <c r="W47" s="8" t="s">
        <v>116</v>
      </c>
      <c r="X47" s="53">
        <v>24.5</v>
      </c>
      <c r="Y47" s="54" t="s">
        <v>104</v>
      </c>
      <c r="Z47" s="55">
        <v>10</v>
      </c>
      <c r="AA47" s="53">
        <v>14.5</v>
      </c>
      <c r="AB47" s="51">
        <v>6.5</v>
      </c>
      <c r="AC47" s="7" t="s">
        <v>104</v>
      </c>
      <c r="AD47" s="7">
        <v>7</v>
      </c>
      <c r="AE47" s="7">
        <v>6.88</v>
      </c>
      <c r="AF47" s="7">
        <v>5</v>
      </c>
      <c r="AG47" s="8">
        <v>5.5</v>
      </c>
      <c r="AH47" s="57">
        <v>276.64</v>
      </c>
      <c r="AI47" s="57" t="s">
        <v>116</v>
      </c>
      <c r="AJ47" s="57" t="s">
        <v>116</v>
      </c>
      <c r="AK47" s="57" t="s">
        <v>116</v>
      </c>
      <c r="AL47" s="57" t="s">
        <v>116</v>
      </c>
      <c r="AM47" s="59">
        <v>300</v>
      </c>
      <c r="AN47" s="9">
        <v>616</v>
      </c>
      <c r="AO47" s="24">
        <v>700</v>
      </c>
      <c r="AP47" s="57">
        <v>892.64</v>
      </c>
      <c r="AQ47" s="57" t="s">
        <v>116</v>
      </c>
      <c r="AR47" s="68">
        <v>1000</v>
      </c>
    </row>
    <row r="48" spans="1:44" x14ac:dyDescent="0.3">
      <c r="A48" s="28" t="s">
        <v>95</v>
      </c>
      <c r="B48" s="11" t="s">
        <v>25</v>
      </c>
      <c r="C48" s="80" t="s">
        <v>46</v>
      </c>
      <c r="D48" s="77"/>
      <c r="E48" s="4">
        <v>2</v>
      </c>
      <c r="F48" s="4">
        <v>2</v>
      </c>
      <c r="G48" s="4">
        <v>3</v>
      </c>
      <c r="H48" s="4">
        <v>2</v>
      </c>
      <c r="I48" s="13">
        <f t="shared" si="0"/>
        <v>1.5</v>
      </c>
      <c r="J48" s="14" t="s">
        <v>121</v>
      </c>
      <c r="K48" s="15" t="s">
        <v>121</v>
      </c>
      <c r="L48" s="37">
        <v>76</v>
      </c>
      <c r="M48" s="36" t="s">
        <v>104</v>
      </c>
      <c r="N48" s="38">
        <v>40.299999999999997</v>
      </c>
      <c r="O48" s="21" t="s">
        <v>116</v>
      </c>
      <c r="P48" s="7" t="s">
        <v>104</v>
      </c>
      <c r="Q48" s="8" t="s">
        <v>116</v>
      </c>
      <c r="R48" s="39" t="s">
        <v>116</v>
      </c>
      <c r="S48" s="36" t="s">
        <v>104</v>
      </c>
      <c r="T48" s="38" t="s">
        <v>116</v>
      </c>
      <c r="U48" s="21" t="s">
        <v>116</v>
      </c>
      <c r="V48" s="7" t="s">
        <v>104</v>
      </c>
      <c r="W48" s="8" t="s">
        <v>116</v>
      </c>
      <c r="X48" s="53">
        <v>15</v>
      </c>
      <c r="Y48" s="54" t="s">
        <v>104</v>
      </c>
      <c r="Z48" s="55">
        <v>21</v>
      </c>
      <c r="AA48" s="53">
        <v>19</v>
      </c>
      <c r="AB48" s="51">
        <v>7.5</v>
      </c>
      <c r="AC48" s="7" t="s">
        <v>104</v>
      </c>
      <c r="AD48" s="7">
        <v>6.75</v>
      </c>
      <c r="AE48" s="7">
        <v>7</v>
      </c>
      <c r="AF48" s="7">
        <v>7</v>
      </c>
      <c r="AG48" s="8">
        <v>6</v>
      </c>
      <c r="AH48" s="57">
        <v>275.97000000000003</v>
      </c>
      <c r="AI48" s="57" t="s">
        <v>116</v>
      </c>
      <c r="AJ48" s="57" t="s">
        <v>116</v>
      </c>
      <c r="AK48" s="57" t="s">
        <v>116</v>
      </c>
      <c r="AL48" s="57" t="s">
        <v>116</v>
      </c>
      <c r="AM48" s="59">
        <v>300</v>
      </c>
      <c r="AN48" s="9">
        <v>593.83000000000004</v>
      </c>
      <c r="AO48" s="24">
        <v>700</v>
      </c>
      <c r="AP48" s="57">
        <v>869.8</v>
      </c>
      <c r="AQ48" s="57" t="s">
        <v>116</v>
      </c>
      <c r="AR48" s="68">
        <v>1000</v>
      </c>
    </row>
    <row r="49" spans="1:44" x14ac:dyDescent="0.3">
      <c r="A49" s="28" t="s">
        <v>95</v>
      </c>
      <c r="B49" s="11" t="s">
        <v>25</v>
      </c>
      <c r="C49" s="80" t="s">
        <v>47</v>
      </c>
      <c r="D49" s="77"/>
      <c r="E49" s="4">
        <v>1</v>
      </c>
      <c r="F49" s="4">
        <v>1</v>
      </c>
      <c r="G49" s="4">
        <v>0</v>
      </c>
      <c r="H49" s="4">
        <v>0</v>
      </c>
      <c r="I49" s="13">
        <f t="shared" si="0"/>
        <v>0</v>
      </c>
      <c r="J49" s="14" t="s">
        <v>121</v>
      </c>
      <c r="K49" s="15" t="s">
        <v>121</v>
      </c>
      <c r="L49" s="39" t="s">
        <v>89</v>
      </c>
      <c r="M49" s="40" t="s">
        <v>103</v>
      </c>
      <c r="N49" s="38" t="s">
        <v>89</v>
      </c>
      <c r="O49" s="21" t="s">
        <v>89</v>
      </c>
      <c r="P49" s="19" t="s">
        <v>103</v>
      </c>
      <c r="Q49" s="8" t="s">
        <v>89</v>
      </c>
      <c r="R49" s="39" t="s">
        <v>89</v>
      </c>
      <c r="S49" s="40" t="s">
        <v>103</v>
      </c>
      <c r="T49" s="38" t="s">
        <v>89</v>
      </c>
      <c r="U49" s="21" t="s">
        <v>89</v>
      </c>
      <c r="V49" s="19" t="s">
        <v>103</v>
      </c>
      <c r="W49" s="8" t="s">
        <v>89</v>
      </c>
      <c r="X49" s="53" t="s">
        <v>89</v>
      </c>
      <c r="Y49" s="54" t="s">
        <v>104</v>
      </c>
      <c r="Z49" s="55" t="s">
        <v>88</v>
      </c>
      <c r="AA49" s="53" t="s">
        <v>88</v>
      </c>
      <c r="AB49" s="51" t="s">
        <v>88</v>
      </c>
      <c r="AC49" s="7" t="s">
        <v>104</v>
      </c>
      <c r="AD49" s="7" t="s">
        <v>88</v>
      </c>
      <c r="AE49" s="7" t="s">
        <v>88</v>
      </c>
      <c r="AF49" s="7" t="s">
        <v>88</v>
      </c>
      <c r="AG49" s="8" t="s">
        <v>88</v>
      </c>
      <c r="AH49" s="57" t="s">
        <v>88</v>
      </c>
      <c r="AI49" s="57" t="s">
        <v>88</v>
      </c>
      <c r="AJ49" s="57" t="s">
        <v>88</v>
      </c>
      <c r="AK49" s="57" t="s">
        <v>88</v>
      </c>
      <c r="AL49" s="57" t="s">
        <v>88</v>
      </c>
      <c r="AM49" s="59">
        <v>300</v>
      </c>
      <c r="AN49" s="9" t="s">
        <v>88</v>
      </c>
      <c r="AO49" s="24">
        <v>700</v>
      </c>
      <c r="AP49" s="57" t="s">
        <v>88</v>
      </c>
      <c r="AQ49" s="57" t="s">
        <v>88</v>
      </c>
      <c r="AR49" s="68">
        <v>1000</v>
      </c>
    </row>
    <row r="50" spans="1:44" x14ac:dyDescent="0.3">
      <c r="A50" s="28" t="s">
        <v>95</v>
      </c>
      <c r="B50" s="11" t="s">
        <v>25</v>
      </c>
      <c r="C50" s="80" t="s">
        <v>48</v>
      </c>
      <c r="D50" s="77"/>
      <c r="E50" s="4">
        <v>1</v>
      </c>
      <c r="F50" s="4">
        <v>1</v>
      </c>
      <c r="G50" s="4">
        <v>0</v>
      </c>
      <c r="H50" s="4">
        <v>0</v>
      </c>
      <c r="I50" s="13">
        <f t="shared" si="0"/>
        <v>0</v>
      </c>
      <c r="J50" s="14" t="s">
        <v>121</v>
      </c>
      <c r="K50" s="15" t="s">
        <v>121</v>
      </c>
      <c r="L50" s="39" t="s">
        <v>89</v>
      </c>
      <c r="M50" s="40" t="s">
        <v>103</v>
      </c>
      <c r="N50" s="38" t="s">
        <v>89</v>
      </c>
      <c r="O50" s="21" t="s">
        <v>89</v>
      </c>
      <c r="P50" s="19" t="s">
        <v>103</v>
      </c>
      <c r="Q50" s="8" t="s">
        <v>89</v>
      </c>
      <c r="R50" s="39" t="s">
        <v>89</v>
      </c>
      <c r="S50" s="40" t="s">
        <v>103</v>
      </c>
      <c r="T50" s="38" t="s">
        <v>89</v>
      </c>
      <c r="U50" s="21" t="s">
        <v>89</v>
      </c>
      <c r="V50" s="19" t="s">
        <v>103</v>
      </c>
      <c r="W50" s="8" t="s">
        <v>89</v>
      </c>
      <c r="X50" s="53" t="s">
        <v>88</v>
      </c>
      <c r="Y50" s="54" t="s">
        <v>103</v>
      </c>
      <c r="Z50" s="55" t="s">
        <v>88</v>
      </c>
      <c r="AA50" s="53" t="s">
        <v>88</v>
      </c>
      <c r="AB50" s="51" t="s">
        <v>88</v>
      </c>
      <c r="AC50" s="7" t="s">
        <v>104</v>
      </c>
      <c r="AD50" s="7" t="s">
        <v>88</v>
      </c>
      <c r="AE50" s="7" t="s">
        <v>88</v>
      </c>
      <c r="AF50" s="7" t="s">
        <v>88</v>
      </c>
      <c r="AG50" s="8" t="s">
        <v>88</v>
      </c>
      <c r="AH50" s="57" t="s">
        <v>88</v>
      </c>
      <c r="AI50" s="57" t="s">
        <v>88</v>
      </c>
      <c r="AJ50" s="57" t="s">
        <v>88</v>
      </c>
      <c r="AK50" s="57" t="s">
        <v>88</v>
      </c>
      <c r="AL50" s="57" t="s">
        <v>88</v>
      </c>
      <c r="AM50" s="59">
        <v>300</v>
      </c>
      <c r="AN50" s="9" t="s">
        <v>88</v>
      </c>
      <c r="AO50" s="24">
        <v>700</v>
      </c>
      <c r="AP50" s="57" t="s">
        <v>88</v>
      </c>
      <c r="AQ50" s="57" t="s">
        <v>88</v>
      </c>
      <c r="AR50" s="68">
        <v>1000</v>
      </c>
    </row>
    <row r="51" spans="1:44" x14ac:dyDescent="0.3">
      <c r="A51" s="28" t="s">
        <v>95</v>
      </c>
      <c r="B51" s="11" t="s">
        <v>31</v>
      </c>
      <c r="C51" s="80" t="s">
        <v>56</v>
      </c>
      <c r="D51" s="76">
        <v>13</v>
      </c>
      <c r="E51" s="4">
        <v>0</v>
      </c>
      <c r="F51" s="4">
        <v>13</v>
      </c>
      <c r="G51" s="4">
        <v>67</v>
      </c>
      <c r="H51" s="4">
        <v>13</v>
      </c>
      <c r="I51" s="13">
        <f t="shared" si="0"/>
        <v>5.1538461538461542</v>
      </c>
      <c r="J51" s="14">
        <v>2</v>
      </c>
      <c r="K51" s="15">
        <v>2</v>
      </c>
      <c r="L51" s="37">
        <v>112.54</v>
      </c>
      <c r="M51" s="36" t="s">
        <v>104</v>
      </c>
      <c r="N51" s="38">
        <v>59.42</v>
      </c>
      <c r="O51" s="21">
        <v>118</v>
      </c>
      <c r="P51" s="7" t="s">
        <v>104</v>
      </c>
      <c r="Q51" s="8">
        <v>60.7</v>
      </c>
      <c r="R51" s="39">
        <v>107</v>
      </c>
      <c r="S51" s="36" t="s">
        <v>104</v>
      </c>
      <c r="T51" s="38">
        <v>57.28</v>
      </c>
      <c r="U51" s="21">
        <v>107</v>
      </c>
      <c r="V51" s="7" t="s">
        <v>104</v>
      </c>
      <c r="W51" s="8">
        <v>56.42</v>
      </c>
      <c r="X51" s="53">
        <v>69.459999999999994</v>
      </c>
      <c r="Y51" s="54" t="s">
        <v>103</v>
      </c>
      <c r="Z51" s="55">
        <v>77.08</v>
      </c>
      <c r="AA51" s="53">
        <v>61.9</v>
      </c>
      <c r="AB51" s="51">
        <v>3.69</v>
      </c>
      <c r="AC51" s="7" t="s">
        <v>104</v>
      </c>
      <c r="AD51" s="7">
        <v>3.12</v>
      </c>
      <c r="AE51" s="7">
        <v>4.12</v>
      </c>
      <c r="AF51" s="7">
        <v>4.1500000000000004</v>
      </c>
      <c r="AG51" s="8">
        <v>3.08</v>
      </c>
      <c r="AH51" s="57">
        <v>477.96</v>
      </c>
      <c r="AI51" s="57">
        <v>16.559999999999999</v>
      </c>
      <c r="AJ51" s="57">
        <v>475.62</v>
      </c>
      <c r="AK51" s="57">
        <v>469.96</v>
      </c>
      <c r="AL51" s="57">
        <v>463.17</v>
      </c>
      <c r="AM51" s="59">
        <v>800</v>
      </c>
      <c r="AN51" s="9">
        <v>182.77</v>
      </c>
      <c r="AO51" s="24">
        <v>200</v>
      </c>
      <c r="AP51" s="57">
        <v>660.73</v>
      </c>
      <c r="AQ51" s="57">
        <v>9.26</v>
      </c>
      <c r="AR51" s="68">
        <v>1000</v>
      </c>
    </row>
    <row r="52" spans="1:44" x14ac:dyDescent="0.3">
      <c r="A52" s="28" t="s">
        <v>96</v>
      </c>
      <c r="B52" s="11" t="s">
        <v>33</v>
      </c>
      <c r="C52" s="80" t="s">
        <v>57</v>
      </c>
      <c r="D52" s="77"/>
      <c r="E52" s="4">
        <v>1</v>
      </c>
      <c r="F52" s="4">
        <v>1</v>
      </c>
      <c r="G52" s="4">
        <v>15</v>
      </c>
      <c r="H52" s="4">
        <v>1</v>
      </c>
      <c r="I52" s="13">
        <f t="shared" si="0"/>
        <v>15</v>
      </c>
      <c r="J52" s="14">
        <v>1</v>
      </c>
      <c r="K52" s="15">
        <v>1</v>
      </c>
      <c r="L52" s="37" t="s">
        <v>83</v>
      </c>
      <c r="M52" s="36" t="s">
        <v>83</v>
      </c>
      <c r="N52" s="38" t="s">
        <v>83</v>
      </c>
      <c r="O52" s="21" t="s">
        <v>71</v>
      </c>
      <c r="P52" s="17" t="s">
        <v>83</v>
      </c>
      <c r="Q52" s="8" t="s">
        <v>83</v>
      </c>
      <c r="R52" s="39" t="s">
        <v>83</v>
      </c>
      <c r="S52" s="46" t="s">
        <v>83</v>
      </c>
      <c r="T52" s="38" t="s">
        <v>83</v>
      </c>
      <c r="U52" s="21" t="s">
        <v>83</v>
      </c>
      <c r="V52" s="17" t="s">
        <v>83</v>
      </c>
      <c r="W52" s="8" t="s">
        <v>83</v>
      </c>
      <c r="X52" s="53" t="s">
        <v>83</v>
      </c>
      <c r="Y52" s="54" t="s">
        <v>83</v>
      </c>
      <c r="Z52" s="55" t="s">
        <v>83</v>
      </c>
      <c r="AA52" s="53" t="s">
        <v>83</v>
      </c>
      <c r="AB52" s="51" t="s">
        <v>83</v>
      </c>
      <c r="AC52" s="7" t="s">
        <v>83</v>
      </c>
      <c r="AD52" s="7" t="s">
        <v>83</v>
      </c>
      <c r="AE52" s="7" t="s">
        <v>83</v>
      </c>
      <c r="AF52" s="7" t="s">
        <v>83</v>
      </c>
      <c r="AG52" s="8" t="s">
        <v>83</v>
      </c>
      <c r="AH52" s="57" t="s">
        <v>83</v>
      </c>
      <c r="AI52" s="57" t="s">
        <v>83</v>
      </c>
      <c r="AJ52" s="57" t="s">
        <v>83</v>
      </c>
      <c r="AK52" s="57" t="s">
        <v>83</v>
      </c>
      <c r="AL52" s="57" t="s">
        <v>83</v>
      </c>
      <c r="AM52" s="59">
        <v>500</v>
      </c>
      <c r="AN52" s="9" t="s">
        <v>104</v>
      </c>
      <c r="AO52" s="20" t="s">
        <v>104</v>
      </c>
      <c r="AP52" s="57" t="s">
        <v>83</v>
      </c>
      <c r="AQ52" s="57" t="s">
        <v>83</v>
      </c>
      <c r="AR52" s="67">
        <v>500</v>
      </c>
    </row>
    <row r="53" spans="1:44" x14ac:dyDescent="0.3">
      <c r="A53" s="28" t="s">
        <v>97</v>
      </c>
      <c r="B53" s="11" t="s">
        <v>27</v>
      </c>
      <c r="C53" s="80" t="s">
        <v>49</v>
      </c>
      <c r="D53" s="77"/>
      <c r="E53" s="4">
        <v>2</v>
      </c>
      <c r="F53" s="4">
        <v>2</v>
      </c>
      <c r="G53" s="4">
        <v>21</v>
      </c>
      <c r="H53" s="4">
        <v>2</v>
      </c>
      <c r="I53" s="13">
        <f t="shared" si="0"/>
        <v>10.5</v>
      </c>
      <c r="J53" s="14" t="s">
        <v>121</v>
      </c>
      <c r="K53" s="15" t="s">
        <v>121</v>
      </c>
      <c r="L53" s="37">
        <v>140.5</v>
      </c>
      <c r="M53" s="36">
        <v>127</v>
      </c>
      <c r="N53" s="38">
        <v>62.95</v>
      </c>
      <c r="O53" s="21" t="s">
        <v>117</v>
      </c>
      <c r="P53" s="17" t="s">
        <v>116</v>
      </c>
      <c r="Q53" s="8" t="s">
        <v>116</v>
      </c>
      <c r="R53" s="39" t="s">
        <v>116</v>
      </c>
      <c r="S53" s="46" t="s">
        <v>116</v>
      </c>
      <c r="T53" s="38" t="s">
        <v>116</v>
      </c>
      <c r="U53" s="21" t="s">
        <v>116</v>
      </c>
      <c r="V53" s="17" t="s">
        <v>116</v>
      </c>
      <c r="W53" s="8" t="s">
        <v>116</v>
      </c>
      <c r="X53" s="53">
        <v>99</v>
      </c>
      <c r="Y53" s="54">
        <v>92.5</v>
      </c>
      <c r="Z53" s="55">
        <v>86.25</v>
      </c>
      <c r="AA53" s="53">
        <v>91</v>
      </c>
      <c r="AB53" s="51">
        <v>1</v>
      </c>
      <c r="AC53" s="7">
        <v>1.5</v>
      </c>
      <c r="AD53" s="7">
        <v>2.5</v>
      </c>
      <c r="AE53" s="7">
        <v>1.88</v>
      </c>
      <c r="AF53" s="7">
        <v>2.5</v>
      </c>
      <c r="AG53" s="8">
        <v>1.5</v>
      </c>
      <c r="AH53" s="57">
        <v>357.3</v>
      </c>
      <c r="AI53" s="57" t="s">
        <v>116</v>
      </c>
      <c r="AJ53" s="57" t="s">
        <v>116</v>
      </c>
      <c r="AK53" s="57" t="s">
        <v>116</v>
      </c>
      <c r="AL53" s="57" t="s">
        <v>116</v>
      </c>
      <c r="AM53" s="59">
        <v>500</v>
      </c>
      <c r="AN53" s="9" t="s">
        <v>104</v>
      </c>
      <c r="AO53" s="20" t="s">
        <v>104</v>
      </c>
      <c r="AP53" s="57">
        <v>357.3</v>
      </c>
      <c r="AQ53" s="57" t="s">
        <v>116</v>
      </c>
      <c r="AR53" s="67">
        <v>500</v>
      </c>
    </row>
    <row r="54" spans="1:44" x14ac:dyDescent="0.3">
      <c r="A54" s="28" t="s">
        <v>98</v>
      </c>
      <c r="B54" s="11" t="s">
        <v>31</v>
      </c>
      <c r="C54" s="80" t="s">
        <v>55</v>
      </c>
      <c r="D54" s="77"/>
      <c r="E54" s="4">
        <v>1</v>
      </c>
      <c r="F54" s="4">
        <v>1</v>
      </c>
      <c r="G54" s="4">
        <v>13</v>
      </c>
      <c r="H54" s="4">
        <v>0</v>
      </c>
      <c r="I54" s="13">
        <f t="shared" si="0"/>
        <v>13</v>
      </c>
      <c r="J54" s="14" t="s">
        <v>121</v>
      </c>
      <c r="K54" s="15" t="s">
        <v>121</v>
      </c>
      <c r="L54" s="39" t="s">
        <v>89</v>
      </c>
      <c r="M54" s="40" t="s">
        <v>89</v>
      </c>
      <c r="N54" s="38" t="s">
        <v>89</v>
      </c>
      <c r="O54" s="21" t="s">
        <v>89</v>
      </c>
      <c r="P54" s="19" t="s">
        <v>89</v>
      </c>
      <c r="Q54" s="8" t="s">
        <v>89</v>
      </c>
      <c r="R54" s="39" t="s">
        <v>89</v>
      </c>
      <c r="S54" s="40" t="s">
        <v>89</v>
      </c>
      <c r="T54" s="38" t="s">
        <v>89</v>
      </c>
      <c r="U54" s="21" t="s">
        <v>89</v>
      </c>
      <c r="V54" s="19" t="s">
        <v>89</v>
      </c>
      <c r="W54" s="8" t="s">
        <v>89</v>
      </c>
      <c r="X54" s="53" t="s">
        <v>88</v>
      </c>
      <c r="Y54" s="54" t="s">
        <v>88</v>
      </c>
      <c r="Z54" s="55" t="s">
        <v>88</v>
      </c>
      <c r="AA54" s="53" t="s">
        <v>88</v>
      </c>
      <c r="AB54" s="51" t="s">
        <v>88</v>
      </c>
      <c r="AC54" s="7" t="s">
        <v>88</v>
      </c>
      <c r="AD54" s="7" t="s">
        <v>88</v>
      </c>
      <c r="AE54" s="7" t="s">
        <v>88</v>
      </c>
      <c r="AF54" s="7" t="s">
        <v>88</v>
      </c>
      <c r="AG54" s="8" t="s">
        <v>88</v>
      </c>
      <c r="AH54" s="57" t="s">
        <v>88</v>
      </c>
      <c r="AI54" s="57" t="s">
        <v>88</v>
      </c>
      <c r="AJ54" s="57" t="s">
        <v>88</v>
      </c>
      <c r="AK54" s="57" t="s">
        <v>88</v>
      </c>
      <c r="AL54" s="57" t="s">
        <v>88</v>
      </c>
      <c r="AM54" s="59">
        <v>500</v>
      </c>
      <c r="AN54" s="9" t="s">
        <v>104</v>
      </c>
      <c r="AO54" s="20" t="s">
        <v>104</v>
      </c>
      <c r="AP54" s="57" t="s">
        <v>88</v>
      </c>
      <c r="AQ54" s="57" t="s">
        <v>88</v>
      </c>
      <c r="AR54" s="67">
        <v>500</v>
      </c>
    </row>
    <row r="55" spans="1:44" x14ac:dyDescent="0.3">
      <c r="A55" s="28" t="s">
        <v>99</v>
      </c>
      <c r="B55" s="11" t="s">
        <v>11</v>
      </c>
      <c r="C55" s="80" t="s">
        <v>20</v>
      </c>
      <c r="D55" s="78"/>
      <c r="E55" s="4">
        <v>10</v>
      </c>
      <c r="F55" s="4">
        <v>10</v>
      </c>
      <c r="G55" s="4">
        <v>0</v>
      </c>
      <c r="H55" s="4">
        <v>0</v>
      </c>
      <c r="I55" s="13">
        <f t="shared" si="0"/>
        <v>0</v>
      </c>
      <c r="J55" s="14" t="s">
        <v>121</v>
      </c>
      <c r="K55" s="15" t="s">
        <v>121</v>
      </c>
      <c r="L55" s="41" t="s">
        <v>104</v>
      </c>
      <c r="M55" s="40" t="s">
        <v>103</v>
      </c>
      <c r="N55" s="42" t="s">
        <v>103</v>
      </c>
      <c r="O55" s="16" t="s">
        <v>104</v>
      </c>
      <c r="P55" s="19" t="s">
        <v>103</v>
      </c>
      <c r="Q55" s="25" t="s">
        <v>103</v>
      </c>
      <c r="R55" s="47" t="s">
        <v>103</v>
      </c>
      <c r="S55" s="40" t="s">
        <v>103</v>
      </c>
      <c r="T55" s="42" t="s">
        <v>103</v>
      </c>
      <c r="U55" s="26" t="s">
        <v>103</v>
      </c>
      <c r="V55" s="19" t="s">
        <v>103</v>
      </c>
      <c r="W55" s="25" t="s">
        <v>103</v>
      </c>
      <c r="X55" s="53" t="s">
        <v>103</v>
      </c>
      <c r="Y55" s="54" t="s">
        <v>103</v>
      </c>
      <c r="Z55" s="55" t="s">
        <v>103</v>
      </c>
      <c r="AA55" s="53" t="s">
        <v>103</v>
      </c>
      <c r="AB55" s="16" t="s">
        <v>104</v>
      </c>
      <c r="AC55" s="19" t="s">
        <v>103</v>
      </c>
      <c r="AD55" s="19" t="s">
        <v>103</v>
      </c>
      <c r="AE55" s="19" t="s">
        <v>103</v>
      </c>
      <c r="AF55" s="19" t="s">
        <v>103</v>
      </c>
      <c r="AG55" s="25" t="s">
        <v>103</v>
      </c>
      <c r="AH55" s="60" t="s">
        <v>104</v>
      </c>
      <c r="AI55" s="61" t="s">
        <v>103</v>
      </c>
      <c r="AJ55" s="56" t="s">
        <v>103</v>
      </c>
      <c r="AK55" s="56" t="s">
        <v>103</v>
      </c>
      <c r="AL55" s="56" t="s">
        <v>103</v>
      </c>
      <c r="AM55" s="59" t="s">
        <v>103</v>
      </c>
      <c r="AN55" s="9" t="s">
        <v>104</v>
      </c>
      <c r="AO55" s="24" t="s">
        <v>104</v>
      </c>
      <c r="AP55" s="57" t="s">
        <v>89</v>
      </c>
      <c r="AQ55" s="57" t="s">
        <v>89</v>
      </c>
      <c r="AR55" s="68">
        <v>1000</v>
      </c>
    </row>
    <row r="56" spans="1:44" x14ac:dyDescent="0.3">
      <c r="A56" s="28" t="s">
        <v>100</v>
      </c>
      <c r="B56" s="11" t="s">
        <v>9</v>
      </c>
      <c r="C56" s="80" t="s">
        <v>14</v>
      </c>
      <c r="D56" s="78"/>
      <c r="E56" s="4">
        <v>8</v>
      </c>
      <c r="F56" s="4">
        <v>8</v>
      </c>
      <c r="G56" s="4">
        <v>1</v>
      </c>
      <c r="H56" s="4">
        <v>0</v>
      </c>
      <c r="I56" s="13">
        <f t="shared" si="0"/>
        <v>0.125</v>
      </c>
      <c r="J56" s="14" t="s">
        <v>121</v>
      </c>
      <c r="K56" s="15" t="s">
        <v>121</v>
      </c>
      <c r="L56" s="41" t="s">
        <v>104</v>
      </c>
      <c r="M56" s="40" t="s">
        <v>103</v>
      </c>
      <c r="N56" s="42" t="s">
        <v>103</v>
      </c>
      <c r="O56" s="16" t="s">
        <v>104</v>
      </c>
      <c r="P56" s="19" t="s">
        <v>103</v>
      </c>
      <c r="Q56" s="25" t="s">
        <v>103</v>
      </c>
      <c r="R56" s="47" t="s">
        <v>103</v>
      </c>
      <c r="S56" s="40" t="s">
        <v>103</v>
      </c>
      <c r="T56" s="42" t="s">
        <v>103</v>
      </c>
      <c r="U56" s="26" t="s">
        <v>103</v>
      </c>
      <c r="V56" s="19" t="s">
        <v>103</v>
      </c>
      <c r="W56" s="25" t="s">
        <v>103</v>
      </c>
      <c r="X56" s="53" t="s">
        <v>103</v>
      </c>
      <c r="Y56" s="54" t="s">
        <v>103</v>
      </c>
      <c r="Z56" s="55" t="s">
        <v>103</v>
      </c>
      <c r="AA56" s="53" t="s">
        <v>103</v>
      </c>
      <c r="AB56" s="16" t="s">
        <v>104</v>
      </c>
      <c r="AC56" s="19" t="s">
        <v>103</v>
      </c>
      <c r="AD56" s="19" t="s">
        <v>103</v>
      </c>
      <c r="AE56" s="19" t="s">
        <v>103</v>
      </c>
      <c r="AF56" s="19" t="s">
        <v>103</v>
      </c>
      <c r="AG56" s="25" t="s">
        <v>103</v>
      </c>
      <c r="AH56" s="60" t="s">
        <v>104</v>
      </c>
      <c r="AI56" s="61" t="s">
        <v>103</v>
      </c>
      <c r="AJ56" s="56" t="s">
        <v>103</v>
      </c>
      <c r="AK56" s="56" t="s">
        <v>103</v>
      </c>
      <c r="AL56" s="56" t="s">
        <v>103</v>
      </c>
      <c r="AM56" s="59" t="s">
        <v>103</v>
      </c>
      <c r="AN56" s="9" t="s">
        <v>104</v>
      </c>
      <c r="AO56" s="24" t="s">
        <v>104</v>
      </c>
      <c r="AP56" s="57" t="s">
        <v>89</v>
      </c>
      <c r="AQ56" s="57" t="s">
        <v>89</v>
      </c>
      <c r="AR56" s="68">
        <v>1000</v>
      </c>
    </row>
    <row r="57" spans="1:44" x14ac:dyDescent="0.3">
      <c r="A57" s="28" t="s">
        <v>100</v>
      </c>
      <c r="B57" s="11" t="s">
        <v>9</v>
      </c>
      <c r="C57" s="80" t="s">
        <v>16</v>
      </c>
      <c r="D57" s="78"/>
      <c r="E57" s="4">
        <v>50</v>
      </c>
      <c r="F57" s="4">
        <v>50</v>
      </c>
      <c r="G57" s="4">
        <v>1</v>
      </c>
      <c r="H57" s="4">
        <v>0</v>
      </c>
      <c r="I57" s="13">
        <f t="shared" si="0"/>
        <v>0.02</v>
      </c>
      <c r="J57" s="14" t="s">
        <v>121</v>
      </c>
      <c r="K57" s="15" t="s">
        <v>121</v>
      </c>
      <c r="L57" s="41" t="s">
        <v>104</v>
      </c>
      <c r="M57" s="40" t="s">
        <v>103</v>
      </c>
      <c r="N57" s="42" t="s">
        <v>103</v>
      </c>
      <c r="O57" s="16" t="s">
        <v>104</v>
      </c>
      <c r="P57" s="19" t="s">
        <v>103</v>
      </c>
      <c r="Q57" s="25" t="s">
        <v>103</v>
      </c>
      <c r="R57" s="47" t="s">
        <v>103</v>
      </c>
      <c r="S57" s="40" t="s">
        <v>103</v>
      </c>
      <c r="T57" s="42" t="s">
        <v>103</v>
      </c>
      <c r="U57" s="26" t="s">
        <v>103</v>
      </c>
      <c r="V57" s="19" t="s">
        <v>103</v>
      </c>
      <c r="W57" s="25" t="s">
        <v>103</v>
      </c>
      <c r="X57" s="53" t="s">
        <v>103</v>
      </c>
      <c r="Y57" s="54" t="s">
        <v>103</v>
      </c>
      <c r="Z57" s="55" t="s">
        <v>103</v>
      </c>
      <c r="AA57" s="53" t="s">
        <v>103</v>
      </c>
      <c r="AB57" s="16" t="s">
        <v>104</v>
      </c>
      <c r="AC57" s="19" t="s">
        <v>103</v>
      </c>
      <c r="AD57" s="19" t="s">
        <v>103</v>
      </c>
      <c r="AE57" s="19" t="s">
        <v>103</v>
      </c>
      <c r="AF57" s="19" t="s">
        <v>103</v>
      </c>
      <c r="AG57" s="25" t="s">
        <v>103</v>
      </c>
      <c r="AH57" s="60" t="s">
        <v>104</v>
      </c>
      <c r="AI57" s="61" t="s">
        <v>103</v>
      </c>
      <c r="AJ57" s="56" t="s">
        <v>103</v>
      </c>
      <c r="AK57" s="56" t="s">
        <v>103</v>
      </c>
      <c r="AL57" s="56" t="s">
        <v>103</v>
      </c>
      <c r="AM57" s="59" t="s">
        <v>103</v>
      </c>
      <c r="AN57" s="9" t="s">
        <v>104</v>
      </c>
      <c r="AO57" s="24" t="s">
        <v>104</v>
      </c>
      <c r="AP57" s="57" t="s">
        <v>89</v>
      </c>
      <c r="AQ57" s="57" t="s">
        <v>89</v>
      </c>
      <c r="AR57" s="68">
        <v>1000</v>
      </c>
    </row>
    <row r="58" spans="1:44" x14ac:dyDescent="0.3">
      <c r="A58" s="28" t="s">
        <v>100</v>
      </c>
      <c r="B58" s="11" t="s">
        <v>11</v>
      </c>
      <c r="C58" s="80" t="s">
        <v>22</v>
      </c>
      <c r="D58" s="78"/>
      <c r="E58" s="4">
        <v>16</v>
      </c>
      <c r="F58" s="4">
        <v>16</v>
      </c>
      <c r="G58" s="4">
        <v>0</v>
      </c>
      <c r="H58" s="4">
        <v>0</v>
      </c>
      <c r="I58" s="13">
        <f t="shared" si="0"/>
        <v>0</v>
      </c>
      <c r="J58" s="14" t="s">
        <v>121</v>
      </c>
      <c r="K58" s="15" t="s">
        <v>121</v>
      </c>
      <c r="L58" s="41" t="s">
        <v>104</v>
      </c>
      <c r="M58" s="40" t="s">
        <v>103</v>
      </c>
      <c r="N58" s="42" t="s">
        <v>103</v>
      </c>
      <c r="O58" s="16" t="s">
        <v>104</v>
      </c>
      <c r="P58" s="19" t="s">
        <v>103</v>
      </c>
      <c r="Q58" s="25" t="s">
        <v>103</v>
      </c>
      <c r="R58" s="47" t="s">
        <v>103</v>
      </c>
      <c r="S58" s="40" t="s">
        <v>103</v>
      </c>
      <c r="T58" s="42" t="s">
        <v>103</v>
      </c>
      <c r="U58" s="26" t="s">
        <v>103</v>
      </c>
      <c r="V58" s="19" t="s">
        <v>103</v>
      </c>
      <c r="W58" s="25" t="s">
        <v>103</v>
      </c>
      <c r="X58" s="53" t="s">
        <v>103</v>
      </c>
      <c r="Y58" s="54" t="s">
        <v>103</v>
      </c>
      <c r="Z58" s="55" t="s">
        <v>103</v>
      </c>
      <c r="AA58" s="53" t="s">
        <v>103</v>
      </c>
      <c r="AB58" s="16" t="s">
        <v>104</v>
      </c>
      <c r="AC58" s="19" t="s">
        <v>103</v>
      </c>
      <c r="AD58" s="19" t="s">
        <v>103</v>
      </c>
      <c r="AE58" s="19" t="s">
        <v>103</v>
      </c>
      <c r="AF58" s="19" t="s">
        <v>103</v>
      </c>
      <c r="AG58" s="25" t="s">
        <v>103</v>
      </c>
      <c r="AH58" s="60" t="s">
        <v>104</v>
      </c>
      <c r="AI58" s="61" t="s">
        <v>103</v>
      </c>
      <c r="AJ58" s="56" t="s">
        <v>103</v>
      </c>
      <c r="AK58" s="56" t="s">
        <v>103</v>
      </c>
      <c r="AL58" s="56" t="s">
        <v>103</v>
      </c>
      <c r="AM58" s="59" t="s">
        <v>103</v>
      </c>
      <c r="AN58" s="9" t="s">
        <v>104</v>
      </c>
      <c r="AO58" s="24" t="s">
        <v>104</v>
      </c>
      <c r="AP58" s="57" t="s">
        <v>89</v>
      </c>
      <c r="AQ58" s="57" t="s">
        <v>89</v>
      </c>
      <c r="AR58" s="68">
        <v>1000</v>
      </c>
    </row>
    <row r="59" spans="1:44" ht="14.25" thickBot="1" x14ac:dyDescent="0.35">
      <c r="A59" s="29" t="s">
        <v>101</v>
      </c>
      <c r="B59" s="12" t="s">
        <v>11</v>
      </c>
      <c r="C59" s="81" t="s">
        <v>22</v>
      </c>
      <c r="D59" s="79"/>
      <c r="E59" s="6">
        <v>6</v>
      </c>
      <c r="F59" s="6">
        <v>6</v>
      </c>
      <c r="G59" s="6">
        <v>6</v>
      </c>
      <c r="H59" s="6">
        <v>4</v>
      </c>
      <c r="I59" s="30">
        <f t="shared" si="0"/>
        <v>1</v>
      </c>
      <c r="J59" s="31">
        <v>5</v>
      </c>
      <c r="K59" s="32">
        <v>3</v>
      </c>
      <c r="L59" s="43" t="s">
        <v>104</v>
      </c>
      <c r="M59" s="44" t="s">
        <v>103</v>
      </c>
      <c r="N59" s="45" t="s">
        <v>103</v>
      </c>
      <c r="O59" s="22" t="s">
        <v>104</v>
      </c>
      <c r="P59" s="23" t="s">
        <v>103</v>
      </c>
      <c r="Q59" s="33" t="s">
        <v>103</v>
      </c>
      <c r="R59" s="48" t="s">
        <v>103</v>
      </c>
      <c r="S59" s="44" t="s">
        <v>103</v>
      </c>
      <c r="T59" s="45" t="s">
        <v>103</v>
      </c>
      <c r="U59" s="34" t="s">
        <v>103</v>
      </c>
      <c r="V59" s="23" t="s">
        <v>103</v>
      </c>
      <c r="W59" s="33" t="s">
        <v>103</v>
      </c>
      <c r="X59" s="75" t="s">
        <v>103</v>
      </c>
      <c r="Y59" s="72" t="s">
        <v>103</v>
      </c>
      <c r="Z59" s="73" t="s">
        <v>103</v>
      </c>
      <c r="AA59" s="74" t="s">
        <v>103</v>
      </c>
      <c r="AB59" s="22" t="s">
        <v>104</v>
      </c>
      <c r="AC59" s="23" t="s">
        <v>103</v>
      </c>
      <c r="AD59" s="23" t="s">
        <v>103</v>
      </c>
      <c r="AE59" s="23" t="s">
        <v>103</v>
      </c>
      <c r="AF59" s="23" t="s">
        <v>103</v>
      </c>
      <c r="AG59" s="33" t="s">
        <v>103</v>
      </c>
      <c r="AH59" s="62" t="s">
        <v>104</v>
      </c>
      <c r="AI59" s="63" t="s">
        <v>103</v>
      </c>
      <c r="AJ59" s="64" t="s">
        <v>103</v>
      </c>
      <c r="AK59" s="64" t="s">
        <v>103</v>
      </c>
      <c r="AL59" s="64" t="s">
        <v>103</v>
      </c>
      <c r="AM59" s="65" t="s">
        <v>103</v>
      </c>
      <c r="AN59" s="35" t="s">
        <v>104</v>
      </c>
      <c r="AO59" s="52" t="s">
        <v>104</v>
      </c>
      <c r="AP59" s="69">
        <v>931.38</v>
      </c>
      <c r="AQ59" s="69">
        <v>8.51</v>
      </c>
      <c r="AR59" s="70">
        <v>1000</v>
      </c>
    </row>
  </sheetData>
  <autoFilter ref="A13:AR59" xr:uid="{46B4B27E-C391-4CDB-BFA9-51BB43A9315B}"/>
  <mergeCells count="56">
    <mergeCell ref="AH10:AM11"/>
    <mergeCell ref="AJ12:AJ13"/>
    <mergeCell ref="AK12:AK13"/>
    <mergeCell ref="A1:AR1"/>
    <mergeCell ref="AN12:AN13"/>
    <mergeCell ref="AO12:AO13"/>
    <mergeCell ref="L10:W10"/>
    <mergeCell ref="O11:Q11"/>
    <mergeCell ref="O12:O13"/>
    <mergeCell ref="P12:P13"/>
    <mergeCell ref="Q12:Q13"/>
    <mergeCell ref="L11:N11"/>
    <mergeCell ref="L12:L13"/>
    <mergeCell ref="M12:M13"/>
    <mergeCell ref="N12:N13"/>
    <mergeCell ref="R11:T11"/>
    <mergeCell ref="AP10:AR11"/>
    <mergeCell ref="AN10:AO11"/>
    <mergeCell ref="AB12:AB13"/>
    <mergeCell ref="AC12:AC13"/>
    <mergeCell ref="AL12:AL13"/>
    <mergeCell ref="AD12:AD13"/>
    <mergeCell ref="AF12:AF13"/>
    <mergeCell ref="AG12:AG13"/>
    <mergeCell ref="AH12:AH13"/>
    <mergeCell ref="AE12:AE13"/>
    <mergeCell ref="AQ12:AQ13"/>
    <mergeCell ref="AR12:AR13"/>
    <mergeCell ref="AM12:AM13"/>
    <mergeCell ref="AB10:AG11"/>
    <mergeCell ref="AI12:AI13"/>
    <mergeCell ref="AP12:AP13"/>
    <mergeCell ref="A10:A13"/>
    <mergeCell ref="B10:B13"/>
    <mergeCell ref="C10:C13"/>
    <mergeCell ref="G10:G13"/>
    <mergeCell ref="I10:I13"/>
    <mergeCell ref="D10:F10"/>
    <mergeCell ref="D11:D13"/>
    <mergeCell ref="E11:E13"/>
    <mergeCell ref="F11:F13"/>
    <mergeCell ref="H10:H13"/>
    <mergeCell ref="J10:J13"/>
    <mergeCell ref="K10:K13"/>
    <mergeCell ref="X12:X13"/>
    <mergeCell ref="Y12:Y13"/>
    <mergeCell ref="Z12:Z13"/>
    <mergeCell ref="X10:AA11"/>
    <mergeCell ref="U11:W11"/>
    <mergeCell ref="U12:U13"/>
    <mergeCell ref="V12:V13"/>
    <mergeCell ref="W12:W13"/>
    <mergeCell ref="R12:R13"/>
    <mergeCell ref="S12:S13"/>
    <mergeCell ref="T12:T13"/>
    <mergeCell ref="AA12:AA13"/>
  </mergeCells>
  <phoneticPr fontId="1" type="noConversion"/>
  <pageMargins left="0.25" right="0.25" top="0.75" bottom="0.75" header="0.3" footer="0.3"/>
  <pageSetup paperSize="12" scale="39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정시모집-모든 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영임</cp:lastModifiedBy>
  <cp:lastPrinted>2025-03-27T12:56:00Z</cp:lastPrinted>
  <dcterms:created xsi:type="dcterms:W3CDTF">2025-03-13T11:29:08Z</dcterms:created>
  <dcterms:modified xsi:type="dcterms:W3CDTF">2026-04-29T00:34:48Z</dcterms:modified>
</cp:coreProperties>
</file>