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영임\입학과\작성 및 검토\2026 입시 결과 자료\"/>
    </mc:Choice>
  </mc:AlternateContent>
  <xr:revisionPtr revIDLastSave="0" documentId="13_ncr:1_{679F21DA-E832-47DF-813A-D7319D7990BF}" xr6:coauthVersionLast="47" xr6:coauthVersionMax="47" xr10:uidLastSave="{00000000-0000-0000-0000-000000000000}"/>
  <bookViews>
    <workbookView xWindow="28680" yWindow="-120" windowWidth="29040" windowHeight="15720" xr2:uid="{A2130B39-3B29-438D-8379-EB9A02A4A6E7}"/>
  </bookViews>
  <sheets>
    <sheet name="수시모집-학생부교과전형" sheetId="2" r:id="rId1"/>
    <sheet name="수시모집-실기실적전형" sheetId="7" r:id="rId2"/>
  </sheets>
  <definedNames>
    <definedName name="_xlnm._FilterDatabase" localSheetId="1" hidden="1">'수시모집-실기실적전형'!$A$13:$AM$32</definedName>
    <definedName name="_xlnm._FilterDatabase" localSheetId="0" hidden="1">'수시모집-학생부교과전형'!$A$13:$AJ$123</definedName>
    <definedName name="_xlnm.Print_Titles" localSheetId="1">'수시모집-실기실적전형'!$11:$13</definedName>
    <definedName name="_xlnm.Print_Titles" localSheetId="0">'수시모집-학생부교과전형'!$11:$13</definedName>
    <definedName name="총점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7" l="1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4" i="2"/>
  <c r="H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13" authorId="0" shapeId="0" xr:uid="{38CA3572-3D5F-4E17-A2DE-F738C1E38183}">
      <text>
        <r>
          <rPr>
            <b/>
            <sz val="9"/>
            <color indexed="81"/>
            <rFont val="돋움"/>
            <family val="3"/>
            <charset val="129"/>
          </rPr>
          <t>최종등록자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진로선택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13" authorId="0" shapeId="0" xr:uid="{6BBB860D-0977-4370-AA78-B2D764A4243F}">
      <text>
        <r>
          <rPr>
            <b/>
            <sz val="9"/>
            <color indexed="81"/>
            <rFont val="돋움"/>
            <family val="3"/>
            <charset val="129"/>
          </rPr>
          <t>최종등록자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진로선택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</text>
    </comment>
  </commentList>
</comments>
</file>

<file path=xl/sharedStrings.xml><?xml version="1.0" encoding="utf-8"?>
<sst xmlns="http://schemas.openxmlformats.org/spreadsheetml/2006/main" count="1272" uniqueCount="136">
  <si>
    <t>대학명</t>
  </si>
  <si>
    <t>모집단위명</t>
  </si>
  <si>
    <t>모집
인원</t>
  </si>
  <si>
    <t>지원
인원</t>
  </si>
  <si>
    <t>경쟁률</t>
    <phoneticPr fontId="3" type="noConversion"/>
  </si>
  <si>
    <t>등록
인원</t>
  </si>
  <si>
    <t>평균</t>
  </si>
  <si>
    <t>평균</t>
    <phoneticPr fontId="3" type="noConversion"/>
  </si>
  <si>
    <t>전형구분</t>
  </si>
  <si>
    <t>간호대학</t>
  </si>
  <si>
    <t>간호학과</t>
  </si>
  <si>
    <t>공과대학</t>
  </si>
  <si>
    <t>공학계열1</t>
  </si>
  <si>
    <t>농업생명과학대학</t>
  </si>
  <si>
    <t>공학계열2</t>
  </si>
  <si>
    <t>사범대학</t>
  </si>
  <si>
    <t>사회과학대학</t>
  </si>
  <si>
    <t>경상대학</t>
  </si>
  <si>
    <t>농업생명과학계열</t>
  </si>
  <si>
    <t>생활과학대학</t>
  </si>
  <si>
    <t>수의과대학</t>
  </si>
  <si>
    <t>약학대학</t>
  </si>
  <si>
    <t>스마트팜학과</t>
  </si>
  <si>
    <t>예술대학</t>
  </si>
  <si>
    <t>교육학과</t>
  </si>
  <si>
    <t>의과대학</t>
  </si>
  <si>
    <t>국어교육과</t>
  </si>
  <si>
    <t>일반학생</t>
  </si>
  <si>
    <t>인문대학</t>
  </si>
  <si>
    <t>독어교육과</t>
  </si>
  <si>
    <t>자연과학대학</t>
  </si>
  <si>
    <t>영어교육과</t>
  </si>
  <si>
    <t>치과대학</t>
  </si>
  <si>
    <t>사회과교육학부</t>
  </si>
  <si>
    <t>지역인재기회균형(호남권)</t>
  </si>
  <si>
    <t>환경생명자원대학</t>
  </si>
  <si>
    <t>과학교육학부</t>
  </si>
  <si>
    <t>본부</t>
  </si>
  <si>
    <t>수학교육과</t>
  </si>
  <si>
    <t>예체능실기</t>
  </si>
  <si>
    <t>체육교육과</t>
  </si>
  <si>
    <t>사회과학계열</t>
  </si>
  <si>
    <t>경상계열</t>
  </si>
  <si>
    <t>생활과학계열</t>
  </si>
  <si>
    <t>수의예과</t>
  </si>
  <si>
    <t>약학과</t>
  </si>
  <si>
    <t>무용학과(발레/무용교육크리에이터)</t>
  </si>
  <si>
    <t>무용학과(한국무용)</t>
  </si>
  <si>
    <t>무용학과(컨템포러리무용/안무)</t>
  </si>
  <si>
    <t>미술학과(한국화)</t>
  </si>
  <si>
    <t>미술학과(회화/시각예술)</t>
  </si>
  <si>
    <t>미술학과(조소/공공미술)</t>
  </si>
  <si>
    <t>미술학과(가구조형디자인)</t>
  </si>
  <si>
    <t>산업디자인학과(제품디자인)</t>
  </si>
  <si>
    <t>산업디자인학과(시각영상디자인)</t>
  </si>
  <si>
    <t>음악과(멀티미디어작곡)</t>
  </si>
  <si>
    <t>음악과(성악)</t>
  </si>
  <si>
    <t>음악과(피아노)</t>
  </si>
  <si>
    <t>음악과(관악)</t>
  </si>
  <si>
    <t>음악과(현악)</t>
  </si>
  <si>
    <t>한국음악학과(작곡.이론)</t>
  </si>
  <si>
    <t>한국음악학과(성악.타악)</t>
  </si>
  <si>
    <t>한국음악학과(관악)</t>
  </si>
  <si>
    <t>한국음악학과(현악)</t>
  </si>
  <si>
    <t>의예과</t>
  </si>
  <si>
    <t>고고문화인류학과</t>
  </si>
  <si>
    <t>국어국문학과</t>
  </si>
  <si>
    <t>독일학과</t>
  </si>
  <si>
    <t>문헌정보학과</t>
  </si>
  <si>
    <t>사학과</t>
  </si>
  <si>
    <t>스페인.중남미학과</t>
  </si>
  <si>
    <t>영어영문학과</t>
  </si>
  <si>
    <t>일본학과</t>
  </si>
  <si>
    <t>중어중문학과</t>
  </si>
  <si>
    <t>철학과</t>
  </si>
  <si>
    <t>프랑스.아프리카학과</t>
  </si>
  <si>
    <t>국제학부</t>
  </si>
  <si>
    <t>자연과학계열1</t>
  </si>
  <si>
    <t>자연과학계열2</t>
  </si>
  <si>
    <t>치의예과</t>
  </si>
  <si>
    <t>환경생명자원계열</t>
  </si>
  <si>
    <t>융합자율전공학부1</t>
  </si>
  <si>
    <t>융합자율전공학부2</t>
  </si>
  <si>
    <t>국제이공학부</t>
  </si>
  <si>
    <t>만점</t>
    <phoneticPr fontId="3" type="noConversion"/>
  </si>
  <si>
    <t>※ 등록인원이 1명 이하인 모집단위 성적은 공개하지 않음</t>
    <phoneticPr fontId="1" type="noConversion"/>
  </si>
  <si>
    <t>※ 등록인원이 2명인 모집단위 성적은 평균에 한해 공개, 등록인원이 3명인 모집단위는 평균 및 편차에 한해 공개</t>
    <phoneticPr fontId="1" type="noConversion"/>
  </si>
  <si>
    <t>1명 이하</t>
    <phoneticPr fontId="1" type="noConversion"/>
  </si>
  <si>
    <t>50% cut</t>
    <phoneticPr fontId="3" type="noConversion"/>
  </si>
  <si>
    <t>70% cut</t>
    <phoneticPr fontId="3" type="noConversion"/>
  </si>
  <si>
    <t>최초합격자</t>
    <phoneticPr fontId="1" type="noConversion"/>
  </si>
  <si>
    <t>평균</t>
    <phoneticPr fontId="1" type="noConversion"/>
  </si>
  <si>
    <t>최종등록자</t>
    <phoneticPr fontId="1" type="noConversion"/>
  </si>
  <si>
    <t>최초합격자</t>
    <phoneticPr fontId="1" type="noConversion"/>
  </si>
  <si>
    <t>최종등록자</t>
    <phoneticPr fontId="1" type="noConversion"/>
  </si>
  <si>
    <t>표준편차</t>
    <phoneticPr fontId="3" type="noConversion"/>
  </si>
  <si>
    <t>만점</t>
    <phoneticPr fontId="1" type="noConversion"/>
  </si>
  <si>
    <t>※ 입시결과는 최종등록자 기준임</t>
    <phoneticPr fontId="1" type="noConversion"/>
  </si>
  <si>
    <t>※ 충원합격 순위: 마지막 충원 합격자의 후보순위(최초합격 발표 기준 후보순위), 충원합격 등록인원: 등록인원 중 충원합격한 인원 수</t>
    <phoneticPr fontId="1" type="noConversion"/>
  </si>
  <si>
    <t>1명 이하</t>
  </si>
  <si>
    <t>※ 50%/70%/85% cut: 100명 중 50등, 70등, 85등의 점수(소수점인 경우 버림 등수, 4명*0.7=2.8의 경우 2등의 점수)</t>
  </si>
  <si>
    <t>※ 학생부등급은 학생부 성적 산출이 가능한 지원자에 한해 계산됨(학생부비동의자, 검정고시 및 해외고 출신자는 포함하지 않음)</t>
    <phoneticPr fontId="1" type="noConversion"/>
  </si>
  <si>
    <t>2026학년도 전북대학교 수시모집 학생부교과전형 입시 결과</t>
    <phoneticPr fontId="2" type="noConversion"/>
  </si>
  <si>
    <t>이차전지공학과</t>
  </si>
  <si>
    <t>첨단방위산업학과</t>
  </si>
  <si>
    <t>85% cut</t>
    <phoneticPr fontId="3" type="noConversion"/>
  </si>
  <si>
    <t>인원</t>
    <phoneticPr fontId="1" type="noConversion"/>
  </si>
  <si>
    <t>0명</t>
  </si>
  <si>
    <t>0명</t>
    <phoneticPr fontId="1" type="noConversion"/>
  </si>
  <si>
    <t>전형 총점
(1,000점 만점)</t>
    <phoneticPr fontId="3" type="noConversion"/>
  </si>
  <si>
    <t>지역인재1유형</t>
  </si>
  <si>
    <t>지역인재2유형</t>
  </si>
  <si>
    <t>농어촌학생(교과)</t>
  </si>
  <si>
    <t>특기자</t>
  </si>
  <si>
    <t>2026학년도 전북대학교 수시모집 실기/실적전형 입시 결과</t>
    <phoneticPr fontId="2" type="noConversion"/>
  </si>
  <si>
    <t>실기점수</t>
    <phoneticPr fontId="1" type="noConversion"/>
  </si>
  <si>
    <t>최초
모집
인원
(A)</t>
    <phoneticPr fontId="1" type="noConversion"/>
  </si>
  <si>
    <t>미반영</t>
    <phoneticPr fontId="1" type="noConversion"/>
  </si>
  <si>
    <t>학생부 환산점수</t>
    <phoneticPr fontId="3" type="noConversion"/>
  </si>
  <si>
    <r>
      <t>학생부 등급</t>
    </r>
    <r>
      <rPr>
        <b/>
        <sz val="8"/>
        <rFont val="맑은 고딕"/>
        <family val="3"/>
        <charset val="129"/>
        <scheme val="minor"/>
      </rPr>
      <t>(진로선택 미포함)</t>
    </r>
    <phoneticPr fontId="3" type="noConversion"/>
  </si>
  <si>
    <r>
      <t>학생부 등급</t>
    </r>
    <r>
      <rPr>
        <b/>
        <sz val="8"/>
        <rFont val="맑은 고딕"/>
        <family val="3"/>
        <charset val="129"/>
        <scheme val="minor"/>
      </rPr>
      <t>(일반선택 90% + 진로선택 10% 반영 기준)</t>
    </r>
    <phoneticPr fontId="3" type="noConversion"/>
  </si>
  <si>
    <t>충원
합격
등록
인원</t>
    <phoneticPr fontId="3" type="noConversion"/>
  </si>
  <si>
    <t>충원
합격 
순위</t>
    <phoneticPr fontId="3" type="noConversion"/>
  </si>
  <si>
    <t>진로선택
반영인원 
비율</t>
    <phoneticPr fontId="1" type="noConversion"/>
  </si>
  <si>
    <t>2명 이하</t>
  </si>
  <si>
    <t>2명 이하</t>
    <phoneticPr fontId="1" type="noConversion"/>
  </si>
  <si>
    <t>3명 이하</t>
  </si>
  <si>
    <t>3명 이하</t>
    <phoneticPr fontId="1" type="noConversion"/>
  </si>
  <si>
    <t>※ 학생부등급은 학생부교과전형의 반영교과 기준에 따라 산출되며, 과목별 이수단위를 반영함</t>
    <phoneticPr fontId="1" type="noConversion"/>
  </si>
  <si>
    <t>※ 학생부등급은 실기/실적전형의 반영교과 기준에 따라 산출되며, 과목별 이수단위를 반영함</t>
    <phoneticPr fontId="1" type="noConversion"/>
  </si>
  <si>
    <t>등록
인원</t>
    <phoneticPr fontId="1" type="noConversion"/>
  </si>
  <si>
    <t>지원
인원
(B)</t>
    <phoneticPr fontId="1" type="noConversion"/>
  </si>
  <si>
    <t>최종
모집
인원</t>
    <phoneticPr fontId="1" type="noConversion"/>
  </si>
  <si>
    <t>경쟁률
(B/A)</t>
    <phoneticPr fontId="3" type="noConversion"/>
  </si>
  <si>
    <t>-</t>
    <phoneticPr fontId="1" type="noConversion"/>
  </si>
  <si>
    <t>※ 50%/70%/85% cut 산출 시 지표별로 순위를 재산정함(학생부환산점수 컷은 환산점수 기준, 학생부등급 컷은 등급을 기준으로 순위를 산정하므로 두 순위가 다를 수 있음)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</si>
</sst>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&quot; :1&quot;"/>
    <numFmt numFmtId="178" formatCode="#,###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굴림"/>
      <family val="3"/>
      <charset val="129"/>
    </font>
    <font>
      <b/>
      <sz val="10"/>
      <name val="맑은 고딕"/>
      <family val="3"/>
      <charset val="129"/>
    </font>
    <font>
      <sz val="10"/>
      <color indexed="63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HY헤드라인M"/>
      <family val="1"/>
      <charset val="129"/>
    </font>
    <font>
      <sz val="28"/>
      <color theme="0"/>
      <name val="HY헤드라인M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8"/>
      <name val="맑은 고딕"/>
      <family val="3"/>
      <charset val="129"/>
      <scheme val="minor"/>
    </font>
    <font>
      <sz val="11"/>
      <color theme="3" tint="-0.499984740745262"/>
      <name val="맑은 고딕"/>
      <family val="3"/>
      <charset val="129"/>
      <scheme val="major"/>
    </font>
    <font>
      <sz val="11"/>
      <color rgb="FF0016E6"/>
      <name val="맑은 고딕"/>
      <family val="3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2" fontId="8" fillId="0" borderId="22" xfId="0" applyNumberFormat="1" applyFont="1" applyFill="1" applyBorder="1" applyAlignment="1">
      <alignment horizontal="right" vertical="center"/>
    </xf>
    <xf numFmtId="2" fontId="8" fillId="0" borderId="21" xfId="0" applyNumberFormat="1" applyFont="1" applyFill="1" applyBorder="1" applyAlignment="1">
      <alignment horizontal="right" vertical="center"/>
    </xf>
    <xf numFmtId="2" fontId="8" fillId="0" borderId="27" xfId="0" applyNumberFormat="1" applyFont="1" applyFill="1" applyBorder="1" applyAlignment="1">
      <alignment horizontal="right" vertical="center"/>
    </xf>
    <xf numFmtId="2" fontId="8" fillId="0" borderId="25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2" fontId="8" fillId="0" borderId="34" xfId="0" applyNumberFormat="1" applyFont="1" applyFill="1" applyBorder="1" applyAlignment="1">
      <alignment horizontal="right" vertical="center"/>
    </xf>
    <xf numFmtId="2" fontId="8" fillId="0" borderId="35" xfId="0" applyNumberFormat="1" applyFont="1" applyFill="1" applyBorder="1" applyAlignment="1">
      <alignment horizontal="right" vertical="center"/>
    </xf>
    <xf numFmtId="2" fontId="8" fillId="0" borderId="36" xfId="0" applyNumberFormat="1" applyFont="1" applyFill="1" applyBorder="1" applyAlignment="1">
      <alignment horizontal="right" vertical="center"/>
    </xf>
    <xf numFmtId="2" fontId="8" fillId="0" borderId="37" xfId="0" applyNumberFormat="1" applyFont="1" applyFill="1" applyBorder="1" applyAlignment="1">
      <alignment horizontal="right" vertical="center"/>
    </xf>
    <xf numFmtId="0" fontId="5" fillId="7" borderId="22" xfId="0" applyFont="1" applyFill="1" applyBorder="1" applyAlignment="1">
      <alignment horizontal="left" vertical="center"/>
    </xf>
    <xf numFmtId="0" fontId="5" fillId="7" borderId="21" xfId="0" applyFont="1" applyFill="1" applyBorder="1" applyAlignment="1">
      <alignment horizontal="left" vertical="center"/>
    </xf>
    <xf numFmtId="0" fontId="5" fillId="7" borderId="27" xfId="0" applyFont="1" applyFill="1" applyBorder="1" applyAlignment="1">
      <alignment horizontal="left" vertical="center"/>
    </xf>
    <xf numFmtId="2" fontId="8" fillId="0" borderId="31" xfId="0" applyNumberFormat="1" applyFont="1" applyFill="1" applyBorder="1" applyAlignment="1">
      <alignment horizontal="right" vertical="center"/>
    </xf>
    <xf numFmtId="2" fontId="8" fillId="0" borderId="32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78" fontId="8" fillId="0" borderId="22" xfId="0" applyNumberFormat="1" applyFont="1" applyFill="1" applyBorder="1" applyAlignment="1">
      <alignment horizontal="right" vertical="center"/>
    </xf>
    <xf numFmtId="177" fontId="8" fillId="0" borderId="22" xfId="0" applyNumberFormat="1" applyFont="1" applyFill="1" applyBorder="1" applyAlignment="1">
      <alignment horizontal="right" vertical="center"/>
    </xf>
    <xf numFmtId="0" fontId="8" fillId="0" borderId="22" xfId="0" applyFont="1" applyFill="1" applyBorder="1" applyAlignment="1">
      <alignment horizontal="right" vertical="center"/>
    </xf>
    <xf numFmtId="0" fontId="8" fillId="0" borderId="38" xfId="0" applyFont="1" applyFill="1" applyBorder="1" applyAlignment="1">
      <alignment horizontal="right" vertical="center"/>
    </xf>
    <xf numFmtId="178" fontId="8" fillId="0" borderId="21" xfId="0" applyNumberFormat="1" applyFont="1" applyFill="1" applyBorder="1" applyAlignment="1">
      <alignment horizontal="right" vertical="center"/>
    </xf>
    <xf numFmtId="177" fontId="8" fillId="0" borderId="21" xfId="0" applyNumberFormat="1" applyFont="1" applyFill="1" applyBorder="1" applyAlignment="1">
      <alignment horizontal="right" vertical="center"/>
    </xf>
    <xf numFmtId="178" fontId="8" fillId="0" borderId="27" xfId="0" applyNumberFormat="1" applyFont="1" applyFill="1" applyBorder="1" applyAlignment="1">
      <alignment horizontal="right" vertical="center"/>
    </xf>
    <xf numFmtId="177" fontId="8" fillId="0" borderId="27" xfId="0" applyNumberFormat="1" applyFont="1" applyFill="1" applyBorder="1" applyAlignment="1">
      <alignment horizontal="right" vertical="center"/>
    </xf>
    <xf numFmtId="2" fontId="8" fillId="0" borderId="30" xfId="0" applyNumberFormat="1" applyFont="1" applyFill="1" applyBorder="1" applyAlignment="1">
      <alignment horizontal="right" vertical="center"/>
    </xf>
    <xf numFmtId="0" fontId="8" fillId="0" borderId="34" xfId="0" applyFont="1" applyFill="1" applyBorder="1" applyAlignment="1">
      <alignment horizontal="right" vertical="center"/>
    </xf>
    <xf numFmtId="0" fontId="8" fillId="0" borderId="35" xfId="0" applyFont="1" applyFill="1" applyBorder="1" applyAlignment="1">
      <alignment horizontal="right" vertical="center"/>
    </xf>
    <xf numFmtId="3" fontId="8" fillId="0" borderId="40" xfId="0" applyNumberFormat="1" applyFont="1" applyFill="1" applyBorder="1" applyAlignment="1">
      <alignment horizontal="right" vertical="center"/>
    </xf>
    <xf numFmtId="3" fontId="8" fillId="0" borderId="34" xfId="0" applyNumberFormat="1" applyFont="1" applyFill="1" applyBorder="1" applyAlignment="1">
      <alignment horizontal="right" vertical="center"/>
    </xf>
    <xf numFmtId="0" fontId="8" fillId="0" borderId="21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left" vertical="center"/>
    </xf>
    <xf numFmtId="0" fontId="5" fillId="7" borderId="24" xfId="0" applyFont="1" applyFill="1" applyBorder="1" applyAlignment="1">
      <alignment horizontal="left" vertical="center"/>
    </xf>
    <xf numFmtId="0" fontId="5" fillId="7" borderId="26" xfId="0" applyFont="1" applyFill="1" applyBorder="1" applyAlignment="1">
      <alignment horizontal="left" vertical="center"/>
    </xf>
    <xf numFmtId="177" fontId="8" fillId="0" borderId="30" xfId="0" applyNumberFormat="1" applyFont="1" applyFill="1" applyBorder="1" applyAlignment="1">
      <alignment horizontal="right" vertical="center"/>
    </xf>
    <xf numFmtId="0" fontId="8" fillId="0" borderId="30" xfId="0" applyFont="1" applyFill="1" applyBorder="1" applyAlignment="1">
      <alignment horizontal="right" vertical="center"/>
    </xf>
    <xf numFmtId="0" fontId="8" fillId="0" borderId="39" xfId="0" applyFont="1" applyFill="1" applyBorder="1" applyAlignment="1">
      <alignment horizontal="right" vertical="center"/>
    </xf>
    <xf numFmtId="2" fontId="8" fillId="0" borderId="42" xfId="0" applyNumberFormat="1" applyFont="1" applyFill="1" applyBorder="1" applyAlignment="1">
      <alignment horizontal="right" vertical="center"/>
    </xf>
    <xf numFmtId="2" fontId="8" fillId="0" borderId="43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center" vertical="center" wrapText="1"/>
    </xf>
    <xf numFmtId="9" fontId="8" fillId="0" borderId="31" xfId="1" applyFont="1" applyFill="1" applyBorder="1" applyAlignment="1">
      <alignment horizontal="right" vertical="center"/>
    </xf>
    <xf numFmtId="9" fontId="8" fillId="0" borderId="32" xfId="1" applyFont="1" applyFill="1" applyBorder="1" applyAlignment="1">
      <alignment horizontal="right" vertical="center"/>
    </xf>
    <xf numFmtId="9" fontId="8" fillId="0" borderId="44" xfId="1" applyFont="1" applyFill="1" applyBorder="1" applyAlignment="1">
      <alignment horizontal="right" vertical="center"/>
    </xf>
    <xf numFmtId="2" fontId="8" fillId="0" borderId="44" xfId="0" applyNumberFormat="1" applyFont="1" applyFill="1" applyBorder="1" applyAlignment="1">
      <alignment horizontal="right" vertical="center"/>
    </xf>
    <xf numFmtId="9" fontId="8" fillId="0" borderId="45" xfId="1" applyFont="1" applyFill="1" applyBorder="1" applyAlignment="1">
      <alignment horizontal="right" vertical="center"/>
    </xf>
    <xf numFmtId="2" fontId="8" fillId="0" borderId="46" xfId="0" applyNumberFormat="1" applyFont="1" applyFill="1" applyBorder="1" applyAlignment="1">
      <alignment horizontal="right" vertical="center"/>
    </xf>
    <xf numFmtId="2" fontId="8" fillId="11" borderId="21" xfId="0" applyNumberFormat="1" applyFont="1" applyFill="1" applyBorder="1" applyAlignment="1">
      <alignment horizontal="right" vertical="center"/>
    </xf>
    <xf numFmtId="2" fontId="8" fillId="11" borderId="27" xfId="0" applyNumberFormat="1" applyFont="1" applyFill="1" applyBorder="1" applyAlignment="1">
      <alignment horizontal="right" vertical="center"/>
    </xf>
    <xf numFmtId="2" fontId="8" fillId="11" borderId="22" xfId="0" applyNumberFormat="1" applyFont="1" applyFill="1" applyBorder="1" applyAlignment="1">
      <alignment horizontal="right" vertical="center"/>
    </xf>
    <xf numFmtId="2" fontId="8" fillId="11" borderId="30" xfId="0" applyNumberFormat="1" applyFont="1" applyFill="1" applyBorder="1" applyAlignment="1">
      <alignment horizontal="right" vertical="center"/>
    </xf>
    <xf numFmtId="0" fontId="8" fillId="11" borderId="31" xfId="0" applyNumberFormat="1" applyFont="1" applyFill="1" applyBorder="1" applyAlignment="1">
      <alignment horizontal="right" vertical="center"/>
    </xf>
    <xf numFmtId="0" fontId="8" fillId="11" borderId="32" xfId="0" applyNumberFormat="1" applyFont="1" applyFill="1" applyBorder="1" applyAlignment="1">
      <alignment horizontal="right" vertical="center"/>
    </xf>
    <xf numFmtId="2" fontId="8" fillId="11" borderId="36" xfId="0" applyNumberFormat="1" applyFont="1" applyFill="1" applyBorder="1" applyAlignment="1">
      <alignment horizontal="right" vertical="center"/>
    </xf>
    <xf numFmtId="3" fontId="8" fillId="11" borderId="40" xfId="0" applyNumberFormat="1" applyFont="1" applyFill="1" applyBorder="1" applyAlignment="1">
      <alignment horizontal="right" vertical="center"/>
    </xf>
    <xf numFmtId="3" fontId="8" fillId="11" borderId="33" xfId="0" applyNumberFormat="1" applyFont="1" applyFill="1" applyBorder="1" applyAlignment="1">
      <alignment horizontal="right" vertical="center"/>
    </xf>
    <xf numFmtId="3" fontId="8" fillId="11" borderId="34" xfId="0" applyNumberFormat="1" applyFont="1" applyFill="1" applyBorder="1" applyAlignment="1">
      <alignment horizontal="right" vertical="center"/>
    </xf>
    <xf numFmtId="2" fontId="8" fillId="11" borderId="42" xfId="0" applyNumberFormat="1" applyFont="1" applyFill="1" applyBorder="1" applyAlignment="1">
      <alignment horizontal="right" vertical="center"/>
    </xf>
    <xf numFmtId="0" fontId="8" fillId="11" borderId="34" xfId="0" applyFont="1" applyFill="1" applyBorder="1" applyAlignment="1">
      <alignment horizontal="right" vertical="center"/>
    </xf>
    <xf numFmtId="0" fontId="8" fillId="11" borderId="35" xfId="0" applyFont="1" applyFill="1" applyBorder="1" applyAlignment="1">
      <alignment horizontal="right" vertical="center"/>
    </xf>
    <xf numFmtId="2" fontId="8" fillId="11" borderId="25" xfId="0" applyNumberFormat="1" applyFont="1" applyFill="1" applyBorder="1" applyAlignment="1">
      <alignment horizontal="right" vertical="center"/>
    </xf>
    <xf numFmtId="2" fontId="8" fillId="11" borderId="28" xfId="0" applyNumberFormat="1" applyFont="1" applyFill="1" applyBorder="1" applyAlignment="1">
      <alignment horizontal="right" vertical="center"/>
    </xf>
    <xf numFmtId="0" fontId="14" fillId="10" borderId="0" xfId="0" applyFont="1" applyFill="1" applyAlignment="1">
      <alignment vertical="center"/>
    </xf>
    <xf numFmtId="0" fontId="14" fillId="10" borderId="0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4" fillId="2" borderId="47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left" vertical="center"/>
    </xf>
    <xf numFmtId="0" fontId="5" fillId="7" borderId="35" xfId="0" applyFont="1" applyFill="1" applyBorder="1" applyAlignment="1">
      <alignment horizontal="left" vertical="center"/>
    </xf>
    <xf numFmtId="178" fontId="8" fillId="0" borderId="37" xfId="0" applyNumberFormat="1" applyFont="1" applyFill="1" applyBorder="1" applyAlignment="1">
      <alignment horizontal="right" vertical="center"/>
    </xf>
    <xf numFmtId="178" fontId="8" fillId="0" borderId="41" xfId="0" applyNumberFormat="1" applyFont="1" applyFill="1" applyBorder="1" applyAlignment="1">
      <alignment horizontal="right" vertical="center"/>
    </xf>
    <xf numFmtId="0" fontId="5" fillId="7" borderId="40" xfId="0" applyFont="1" applyFill="1" applyBorder="1" applyAlignment="1">
      <alignment horizontal="left" vertical="center"/>
    </xf>
    <xf numFmtId="178" fontId="8" fillId="0" borderId="36" xfId="0" applyNumberFormat="1" applyFont="1" applyFill="1" applyBorder="1" applyAlignment="1">
      <alignment horizontal="right" vertical="center"/>
    </xf>
    <xf numFmtId="0" fontId="5" fillId="7" borderId="33" xfId="0" applyFont="1" applyFill="1" applyBorder="1" applyAlignment="1">
      <alignment horizontal="left" vertical="center"/>
    </xf>
    <xf numFmtId="2" fontId="8" fillId="11" borderId="37" xfId="0" applyNumberFormat="1" applyFont="1" applyFill="1" applyBorder="1" applyAlignment="1">
      <alignment horizontal="right" vertical="center"/>
    </xf>
    <xf numFmtId="2" fontId="8" fillId="0" borderId="40" xfId="0" applyNumberFormat="1" applyFont="1" applyFill="1" applyBorder="1" applyAlignment="1">
      <alignment horizontal="right" vertical="center"/>
    </xf>
    <xf numFmtId="2" fontId="8" fillId="0" borderId="41" xfId="0" applyNumberFormat="1" applyFont="1" applyFill="1" applyBorder="1" applyAlignment="1">
      <alignment horizontal="right" vertical="center"/>
    </xf>
    <xf numFmtId="3" fontId="8" fillId="11" borderId="35" xfId="0" applyNumberFormat="1" applyFont="1" applyFill="1" applyBorder="1" applyAlignment="1">
      <alignment horizontal="right" vertical="center"/>
    </xf>
    <xf numFmtId="2" fontId="8" fillId="0" borderId="49" xfId="0" applyNumberFormat="1" applyFont="1" applyFill="1" applyBorder="1" applyAlignment="1">
      <alignment horizontal="right" vertical="center"/>
    </xf>
    <xf numFmtId="0" fontId="11" fillId="4" borderId="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16E6"/>
      <color rgb="FF0909FF"/>
      <color rgb="FF4145F1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447675</xdr:colOff>
      <xdr:row>1</xdr:row>
      <xdr:rowOff>171450</xdr:rowOff>
    </xdr:from>
    <xdr:to>
      <xdr:col>35</xdr:col>
      <xdr:colOff>366302</xdr:colOff>
      <xdr:row>8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8922CC3-5379-45A1-BCCF-2C2A6D26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3550" y="933450"/>
          <a:ext cx="1661702" cy="1704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457200</xdr:colOff>
      <xdr:row>1</xdr:row>
      <xdr:rowOff>152400</xdr:rowOff>
    </xdr:from>
    <xdr:to>
      <xdr:col>38</xdr:col>
      <xdr:colOff>375827</xdr:colOff>
      <xdr:row>8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64BACD-6FF4-439F-99AE-C33D3AF1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83725" y="914400"/>
          <a:ext cx="1661702" cy="1704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F8F9-7B0D-4E78-851A-D19D75C7B2D4}">
  <sheetPr>
    <tabColor rgb="FF0070C0"/>
    <pageSetUpPr fitToPage="1"/>
  </sheetPr>
  <dimension ref="A1:AJ123"/>
  <sheetViews>
    <sheetView showGridLines="0" tabSelected="1" zoomScaleNormal="100" workbookViewId="0">
      <pane xSplit="6" ySplit="13" topLeftCell="G14" activePane="bottomRight" state="frozen"/>
      <selection pane="topRight" activeCell="H1" sqref="H1"/>
      <selection pane="bottomLeft" activeCell="A14" sqref="A14"/>
      <selection pane="bottomRight" activeCell="A21" sqref="A21"/>
    </sheetView>
  </sheetViews>
  <sheetFormatPr defaultRowHeight="13.5" x14ac:dyDescent="0.3"/>
  <cols>
    <col min="1" max="1" width="20.25" style="1" customWidth="1"/>
    <col min="2" max="2" width="15" style="1" bestFit="1" customWidth="1"/>
    <col min="3" max="3" width="16.5" style="1" customWidth="1"/>
    <col min="4" max="9" width="6.625" style="1" customWidth="1"/>
    <col min="10" max="36" width="7.625" style="1" customWidth="1"/>
    <col min="37" max="16384" width="9" style="1"/>
  </cols>
  <sheetData>
    <row r="1" spans="1:36" ht="60" customHeight="1" x14ac:dyDescent="0.3">
      <c r="A1" s="85" t="s">
        <v>102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</row>
    <row r="2" spans="1:36" ht="20.100000000000001" customHeight="1" x14ac:dyDescent="0.3">
      <c r="A2" s="66" t="s">
        <v>97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</row>
    <row r="3" spans="1:36" ht="20.100000000000001" customHeight="1" x14ac:dyDescent="0.3">
      <c r="A3" s="66" t="s">
        <v>85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6" ht="20.100000000000001" customHeight="1" x14ac:dyDescent="0.3">
      <c r="A4" s="66" t="s">
        <v>86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</row>
    <row r="5" spans="1:36" ht="20.100000000000001" customHeight="1" x14ac:dyDescent="0.3">
      <c r="A5" s="66" t="s">
        <v>100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spans="1:36" ht="20.100000000000001" customHeight="1" x14ac:dyDescent="0.3">
      <c r="A6" s="71" t="s">
        <v>135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 spans="1:36" ht="20.100000000000001" customHeight="1" x14ac:dyDescent="0.3">
      <c r="A7" s="66" t="s">
        <v>128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</row>
    <row r="8" spans="1:36" ht="20.100000000000001" customHeight="1" x14ac:dyDescent="0.3">
      <c r="A8" s="66" t="s">
        <v>101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</row>
    <row r="9" spans="1:36" ht="20.100000000000001" customHeight="1" x14ac:dyDescent="0.3">
      <c r="A9" s="66" t="s">
        <v>98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</row>
    <row r="10" spans="1:36" ht="14.25" customHeight="1" thickBo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6" ht="23.25" customHeight="1" x14ac:dyDescent="0.3">
      <c r="A11" s="114" t="s">
        <v>8</v>
      </c>
      <c r="B11" s="117" t="s">
        <v>0</v>
      </c>
      <c r="C11" s="117" t="s">
        <v>1</v>
      </c>
      <c r="D11" s="120" t="s">
        <v>2</v>
      </c>
      <c r="E11" s="88" t="s">
        <v>3</v>
      </c>
      <c r="F11" s="88" t="s">
        <v>5</v>
      </c>
      <c r="G11" s="88" t="s">
        <v>4</v>
      </c>
      <c r="H11" s="104" t="s">
        <v>122</v>
      </c>
      <c r="I11" s="88" t="s">
        <v>121</v>
      </c>
      <c r="J11" s="108" t="s">
        <v>119</v>
      </c>
      <c r="K11" s="109"/>
      <c r="L11" s="109"/>
      <c r="M11" s="109"/>
      <c r="N11" s="109"/>
      <c r="O11" s="109"/>
      <c r="P11" s="109"/>
      <c r="Q11" s="109"/>
      <c r="R11" s="109"/>
      <c r="S11" s="101" t="s">
        <v>120</v>
      </c>
      <c r="T11" s="102"/>
      <c r="U11" s="102"/>
      <c r="V11" s="102"/>
      <c r="W11" s="102"/>
      <c r="X11" s="102"/>
      <c r="Y11" s="102"/>
      <c r="Z11" s="102"/>
      <c r="AA11" s="102"/>
      <c r="AB11" s="103"/>
      <c r="AC11" s="94" t="s">
        <v>118</v>
      </c>
      <c r="AD11" s="94"/>
      <c r="AE11" s="94"/>
      <c r="AF11" s="94"/>
      <c r="AG11" s="94"/>
      <c r="AH11" s="95"/>
      <c r="AI11" s="90" t="s">
        <v>109</v>
      </c>
      <c r="AJ11" s="91"/>
    </row>
    <row r="12" spans="1:36" ht="23.25" customHeight="1" x14ac:dyDescent="0.3">
      <c r="A12" s="115"/>
      <c r="B12" s="118"/>
      <c r="C12" s="118"/>
      <c r="D12" s="121"/>
      <c r="E12" s="87"/>
      <c r="F12" s="87"/>
      <c r="G12" s="87"/>
      <c r="H12" s="86"/>
      <c r="I12" s="87"/>
      <c r="J12" s="110" t="s">
        <v>90</v>
      </c>
      <c r="K12" s="111"/>
      <c r="L12" s="111"/>
      <c r="M12" s="111"/>
      <c r="N12" s="112" t="s">
        <v>92</v>
      </c>
      <c r="O12" s="113"/>
      <c r="P12" s="113"/>
      <c r="Q12" s="113"/>
      <c r="R12" s="113"/>
      <c r="S12" s="106" t="s">
        <v>93</v>
      </c>
      <c r="T12" s="107"/>
      <c r="U12" s="107"/>
      <c r="V12" s="107"/>
      <c r="W12" s="98" t="s">
        <v>94</v>
      </c>
      <c r="X12" s="99"/>
      <c r="Y12" s="99"/>
      <c r="Z12" s="99"/>
      <c r="AA12" s="99"/>
      <c r="AB12" s="100"/>
      <c r="AC12" s="96"/>
      <c r="AD12" s="96"/>
      <c r="AE12" s="96"/>
      <c r="AF12" s="96"/>
      <c r="AG12" s="96"/>
      <c r="AH12" s="97"/>
      <c r="AI12" s="92"/>
      <c r="AJ12" s="93"/>
    </row>
    <row r="13" spans="1:36" s="2" customFormat="1" ht="40.5" customHeight="1" thickBot="1" x14ac:dyDescent="0.35">
      <c r="A13" s="116"/>
      <c r="B13" s="119"/>
      <c r="C13" s="119"/>
      <c r="D13" s="122"/>
      <c r="E13" s="89"/>
      <c r="F13" s="89"/>
      <c r="G13" s="89"/>
      <c r="H13" s="105"/>
      <c r="I13" s="89"/>
      <c r="J13" s="68" t="s">
        <v>106</v>
      </c>
      <c r="K13" s="68" t="s">
        <v>91</v>
      </c>
      <c r="L13" s="68" t="s">
        <v>95</v>
      </c>
      <c r="M13" s="68" t="s">
        <v>105</v>
      </c>
      <c r="N13" s="68" t="s">
        <v>7</v>
      </c>
      <c r="O13" s="68" t="s">
        <v>95</v>
      </c>
      <c r="P13" s="68" t="s">
        <v>88</v>
      </c>
      <c r="Q13" s="68" t="s">
        <v>89</v>
      </c>
      <c r="R13" s="68" t="s">
        <v>105</v>
      </c>
      <c r="S13" s="35" t="s">
        <v>106</v>
      </c>
      <c r="T13" s="35" t="s">
        <v>91</v>
      </c>
      <c r="U13" s="35" t="s">
        <v>95</v>
      </c>
      <c r="V13" s="35" t="s">
        <v>105</v>
      </c>
      <c r="W13" s="44" t="s">
        <v>123</v>
      </c>
      <c r="X13" s="35" t="s">
        <v>6</v>
      </c>
      <c r="Y13" s="35" t="s">
        <v>95</v>
      </c>
      <c r="Z13" s="35" t="s">
        <v>88</v>
      </c>
      <c r="AA13" s="35" t="s">
        <v>89</v>
      </c>
      <c r="AB13" s="35" t="s">
        <v>105</v>
      </c>
      <c r="AC13" s="72" t="s">
        <v>7</v>
      </c>
      <c r="AD13" s="68" t="s">
        <v>95</v>
      </c>
      <c r="AE13" s="68" t="s">
        <v>88</v>
      </c>
      <c r="AF13" s="68" t="s">
        <v>89</v>
      </c>
      <c r="AG13" s="68" t="s">
        <v>105</v>
      </c>
      <c r="AH13" s="69" t="s">
        <v>84</v>
      </c>
      <c r="AI13" s="70" t="s">
        <v>7</v>
      </c>
      <c r="AJ13" s="8" t="s">
        <v>95</v>
      </c>
    </row>
    <row r="14" spans="1:36" ht="14.25" thickTop="1" x14ac:dyDescent="0.3">
      <c r="A14" s="36" t="s">
        <v>27</v>
      </c>
      <c r="B14" s="13" t="s">
        <v>9</v>
      </c>
      <c r="C14" s="79" t="s">
        <v>10</v>
      </c>
      <c r="D14" s="78">
        <v>10</v>
      </c>
      <c r="E14" s="21">
        <v>113</v>
      </c>
      <c r="F14" s="21">
        <v>9</v>
      </c>
      <c r="G14" s="22">
        <f>E14/D14</f>
        <v>11.3</v>
      </c>
      <c r="H14" s="23">
        <v>14</v>
      </c>
      <c r="I14" s="24">
        <v>6</v>
      </c>
      <c r="J14" s="55">
        <v>10</v>
      </c>
      <c r="K14" s="53">
        <v>1.99</v>
      </c>
      <c r="L14" s="51">
        <v>0.22</v>
      </c>
      <c r="M14" s="51">
        <v>2.2200000000000002</v>
      </c>
      <c r="N14" s="16">
        <v>2.25</v>
      </c>
      <c r="O14" s="4">
        <v>0.21</v>
      </c>
      <c r="P14" s="5">
        <v>2.2400000000000002</v>
      </c>
      <c r="Q14" s="5">
        <v>2.37</v>
      </c>
      <c r="R14" s="5">
        <v>2.41</v>
      </c>
      <c r="S14" s="55">
        <v>10</v>
      </c>
      <c r="T14" s="53">
        <v>1.9</v>
      </c>
      <c r="U14" s="51">
        <v>0.19</v>
      </c>
      <c r="V14" s="51">
        <v>2.1</v>
      </c>
      <c r="W14" s="45">
        <v>0.88888888888888884</v>
      </c>
      <c r="X14" s="11">
        <v>2.13</v>
      </c>
      <c r="Y14" s="4">
        <v>0.17</v>
      </c>
      <c r="Z14" s="5">
        <v>2.12</v>
      </c>
      <c r="AA14" s="5">
        <v>2.23</v>
      </c>
      <c r="AB14" s="81">
        <v>2.27</v>
      </c>
      <c r="AC14" s="57">
        <v>995.94</v>
      </c>
      <c r="AD14" s="57">
        <v>0.62</v>
      </c>
      <c r="AE14" s="57">
        <v>995.94</v>
      </c>
      <c r="AF14" s="57">
        <v>995.59</v>
      </c>
      <c r="AG14" s="57">
        <v>995.48</v>
      </c>
      <c r="AH14" s="58">
        <v>1000</v>
      </c>
      <c r="AI14" s="11">
        <v>995.94</v>
      </c>
      <c r="AJ14" s="43">
        <v>0.62</v>
      </c>
    </row>
    <row r="15" spans="1:36" x14ac:dyDescent="0.3">
      <c r="A15" s="37" t="s">
        <v>27</v>
      </c>
      <c r="B15" s="14" t="s">
        <v>17</v>
      </c>
      <c r="C15" s="73" t="s">
        <v>42</v>
      </c>
      <c r="D15" s="75">
        <v>105</v>
      </c>
      <c r="E15" s="25">
        <v>505</v>
      </c>
      <c r="F15" s="25">
        <v>101</v>
      </c>
      <c r="G15" s="22">
        <f t="shared" ref="G15:G78" si="0">E15/D15</f>
        <v>4.8095238095238093</v>
      </c>
      <c r="H15" s="23">
        <v>140</v>
      </c>
      <c r="I15" s="24">
        <v>72</v>
      </c>
      <c r="J15" s="55">
        <v>106</v>
      </c>
      <c r="K15" s="53">
        <v>3.01</v>
      </c>
      <c r="L15" s="51">
        <v>0.36</v>
      </c>
      <c r="M15" s="51">
        <v>3.31</v>
      </c>
      <c r="N15" s="16">
        <v>3.42</v>
      </c>
      <c r="O15" s="4">
        <v>0.26</v>
      </c>
      <c r="P15" s="5">
        <v>3.51</v>
      </c>
      <c r="Q15" s="5">
        <v>3.69</v>
      </c>
      <c r="R15" s="5">
        <v>3.84</v>
      </c>
      <c r="S15" s="55">
        <v>106</v>
      </c>
      <c r="T15" s="53">
        <v>2.82</v>
      </c>
      <c r="U15" s="51">
        <v>0.32</v>
      </c>
      <c r="V15" s="51">
        <v>3.09</v>
      </c>
      <c r="W15" s="45">
        <v>0.7722772277227723</v>
      </c>
      <c r="X15" s="11">
        <v>3.18</v>
      </c>
      <c r="Y15" s="4">
        <v>0.24</v>
      </c>
      <c r="Z15" s="5">
        <v>3.26</v>
      </c>
      <c r="AA15" s="5">
        <v>3.45</v>
      </c>
      <c r="AB15" s="9">
        <v>3.55</v>
      </c>
      <c r="AC15" s="57">
        <v>992.15</v>
      </c>
      <c r="AD15" s="57">
        <v>0.8</v>
      </c>
      <c r="AE15" s="57">
        <v>992.03</v>
      </c>
      <c r="AF15" s="57">
        <v>991.71</v>
      </c>
      <c r="AG15" s="57">
        <v>991.35</v>
      </c>
      <c r="AH15" s="59">
        <v>1000</v>
      </c>
      <c r="AI15" s="11">
        <v>992.15</v>
      </c>
      <c r="AJ15" s="43">
        <v>0.8</v>
      </c>
    </row>
    <row r="16" spans="1:36" x14ac:dyDescent="0.3">
      <c r="A16" s="37" t="s">
        <v>27</v>
      </c>
      <c r="B16" s="14" t="s">
        <v>11</v>
      </c>
      <c r="C16" s="73" t="s">
        <v>12</v>
      </c>
      <c r="D16" s="75">
        <v>278</v>
      </c>
      <c r="E16" s="25">
        <v>1149</v>
      </c>
      <c r="F16" s="25">
        <v>262</v>
      </c>
      <c r="G16" s="22">
        <f t="shared" si="0"/>
        <v>4.1330935251798557</v>
      </c>
      <c r="H16" s="23">
        <v>366</v>
      </c>
      <c r="I16" s="24">
        <v>180</v>
      </c>
      <c r="J16" s="55">
        <v>287</v>
      </c>
      <c r="K16" s="53">
        <v>3.12</v>
      </c>
      <c r="L16" s="51">
        <v>0.31</v>
      </c>
      <c r="M16" s="51">
        <v>3.44</v>
      </c>
      <c r="N16" s="16">
        <v>3.53</v>
      </c>
      <c r="O16" s="4">
        <v>0.3</v>
      </c>
      <c r="P16" s="5">
        <v>3.63</v>
      </c>
      <c r="Q16" s="5">
        <v>3.76</v>
      </c>
      <c r="R16" s="5">
        <v>3.86</v>
      </c>
      <c r="S16" s="55">
        <v>287</v>
      </c>
      <c r="T16" s="53">
        <v>2.92</v>
      </c>
      <c r="U16" s="51">
        <v>0.27</v>
      </c>
      <c r="V16" s="51">
        <v>3.2</v>
      </c>
      <c r="W16" s="45">
        <v>0.90839694656488545</v>
      </c>
      <c r="X16" s="11">
        <v>3.29</v>
      </c>
      <c r="Y16" s="4">
        <v>0.27</v>
      </c>
      <c r="Z16" s="5">
        <v>3.37</v>
      </c>
      <c r="AA16" s="5">
        <v>3.49</v>
      </c>
      <c r="AB16" s="9">
        <v>3.59</v>
      </c>
      <c r="AC16" s="57">
        <v>991.8</v>
      </c>
      <c r="AD16" s="57">
        <v>0.99</v>
      </c>
      <c r="AE16" s="57">
        <v>991.62</v>
      </c>
      <c r="AF16" s="57">
        <v>991.2</v>
      </c>
      <c r="AG16" s="57">
        <v>990.82</v>
      </c>
      <c r="AH16" s="59">
        <v>1000</v>
      </c>
      <c r="AI16" s="11">
        <v>991.8</v>
      </c>
      <c r="AJ16" s="43">
        <v>0.99</v>
      </c>
    </row>
    <row r="17" spans="1:36" x14ac:dyDescent="0.3">
      <c r="A17" s="37" t="s">
        <v>27</v>
      </c>
      <c r="B17" s="14" t="s">
        <v>11</v>
      </c>
      <c r="C17" s="73" t="s">
        <v>14</v>
      </c>
      <c r="D17" s="75">
        <v>241</v>
      </c>
      <c r="E17" s="25">
        <v>1082</v>
      </c>
      <c r="F17" s="25">
        <v>234</v>
      </c>
      <c r="G17" s="22">
        <f t="shared" si="0"/>
        <v>4.4896265560165975</v>
      </c>
      <c r="H17" s="23">
        <v>232</v>
      </c>
      <c r="I17" s="24">
        <v>154</v>
      </c>
      <c r="J17" s="55">
        <v>245</v>
      </c>
      <c r="K17" s="53">
        <v>3.38</v>
      </c>
      <c r="L17" s="51">
        <v>0.31</v>
      </c>
      <c r="M17" s="51">
        <v>3.7</v>
      </c>
      <c r="N17" s="16">
        <v>3.77</v>
      </c>
      <c r="O17" s="4">
        <v>0.26</v>
      </c>
      <c r="P17" s="5">
        <v>3.85</v>
      </c>
      <c r="Q17" s="5">
        <v>3.95</v>
      </c>
      <c r="R17" s="5">
        <v>4</v>
      </c>
      <c r="S17" s="55">
        <v>245</v>
      </c>
      <c r="T17" s="53">
        <v>3.14</v>
      </c>
      <c r="U17" s="51">
        <v>0.28000000000000003</v>
      </c>
      <c r="V17" s="51">
        <v>3.44</v>
      </c>
      <c r="W17" s="45">
        <v>0.95299145299145294</v>
      </c>
      <c r="X17" s="11">
        <v>3.5</v>
      </c>
      <c r="Y17" s="4">
        <v>0.23</v>
      </c>
      <c r="Z17" s="5">
        <v>3.57</v>
      </c>
      <c r="AA17" s="5">
        <v>3.66</v>
      </c>
      <c r="AB17" s="9">
        <v>3.71</v>
      </c>
      <c r="AC17" s="57">
        <v>991.03</v>
      </c>
      <c r="AD17" s="57">
        <v>0.84</v>
      </c>
      <c r="AE17" s="57">
        <v>990.77</v>
      </c>
      <c r="AF17" s="57">
        <v>990.45</v>
      </c>
      <c r="AG17" s="57">
        <v>990.29</v>
      </c>
      <c r="AH17" s="59">
        <v>1000</v>
      </c>
      <c r="AI17" s="11">
        <v>991.03</v>
      </c>
      <c r="AJ17" s="43">
        <v>0.84</v>
      </c>
    </row>
    <row r="18" spans="1:36" x14ac:dyDescent="0.3">
      <c r="A18" s="37" t="s">
        <v>27</v>
      </c>
      <c r="B18" s="14" t="s">
        <v>13</v>
      </c>
      <c r="C18" s="73" t="s">
        <v>18</v>
      </c>
      <c r="D18" s="75">
        <v>141</v>
      </c>
      <c r="E18" s="25">
        <v>839</v>
      </c>
      <c r="F18" s="25">
        <v>134</v>
      </c>
      <c r="G18" s="22">
        <f t="shared" si="0"/>
        <v>5.9503546099290778</v>
      </c>
      <c r="H18" s="23">
        <v>135</v>
      </c>
      <c r="I18" s="24">
        <v>74</v>
      </c>
      <c r="J18" s="55">
        <v>148</v>
      </c>
      <c r="K18" s="53">
        <v>3.58</v>
      </c>
      <c r="L18" s="51">
        <v>0.34</v>
      </c>
      <c r="M18" s="51">
        <v>3.88</v>
      </c>
      <c r="N18" s="16">
        <v>3.87</v>
      </c>
      <c r="O18" s="4">
        <v>0.33</v>
      </c>
      <c r="P18" s="5">
        <v>3.94</v>
      </c>
      <c r="Q18" s="5">
        <v>4.07</v>
      </c>
      <c r="R18" s="5">
        <v>4.13</v>
      </c>
      <c r="S18" s="55">
        <v>148</v>
      </c>
      <c r="T18" s="53">
        <v>3.32</v>
      </c>
      <c r="U18" s="51">
        <v>0.31</v>
      </c>
      <c r="V18" s="51">
        <v>3.6</v>
      </c>
      <c r="W18" s="45">
        <v>0.97761194029850751</v>
      </c>
      <c r="X18" s="11">
        <v>3.59</v>
      </c>
      <c r="Y18" s="4">
        <v>0.28999999999999998</v>
      </c>
      <c r="Z18" s="5">
        <v>3.66</v>
      </c>
      <c r="AA18" s="5">
        <v>3.77</v>
      </c>
      <c r="AB18" s="9">
        <v>3.82</v>
      </c>
      <c r="AC18" s="57">
        <v>990.67</v>
      </c>
      <c r="AD18" s="57">
        <v>1.1000000000000001</v>
      </c>
      <c r="AE18" s="57">
        <v>990.4</v>
      </c>
      <c r="AF18" s="57">
        <v>990.02</v>
      </c>
      <c r="AG18" s="57">
        <v>989.84</v>
      </c>
      <c r="AH18" s="59">
        <v>1000</v>
      </c>
      <c r="AI18" s="11">
        <v>990.67</v>
      </c>
      <c r="AJ18" s="43">
        <v>1.1000000000000001</v>
      </c>
    </row>
    <row r="19" spans="1:36" x14ac:dyDescent="0.3">
      <c r="A19" s="37" t="s">
        <v>27</v>
      </c>
      <c r="B19" s="14" t="s">
        <v>13</v>
      </c>
      <c r="C19" s="73" t="s">
        <v>22</v>
      </c>
      <c r="D19" s="75">
        <v>14</v>
      </c>
      <c r="E19" s="25">
        <v>147</v>
      </c>
      <c r="F19" s="25">
        <v>13</v>
      </c>
      <c r="G19" s="22">
        <f t="shared" si="0"/>
        <v>10.5</v>
      </c>
      <c r="H19" s="23">
        <v>14</v>
      </c>
      <c r="I19" s="24">
        <v>8</v>
      </c>
      <c r="J19" s="55">
        <v>15</v>
      </c>
      <c r="K19" s="53">
        <v>3.39</v>
      </c>
      <c r="L19" s="51">
        <v>0.2</v>
      </c>
      <c r="M19" s="51">
        <v>3.65</v>
      </c>
      <c r="N19" s="16">
        <v>3.8</v>
      </c>
      <c r="O19" s="4">
        <v>0.2</v>
      </c>
      <c r="P19" s="5">
        <v>3.78</v>
      </c>
      <c r="Q19" s="5">
        <v>3.9</v>
      </c>
      <c r="R19" s="5">
        <v>3.98</v>
      </c>
      <c r="S19" s="55">
        <v>15</v>
      </c>
      <c r="T19" s="53">
        <v>3.15</v>
      </c>
      <c r="U19" s="51">
        <v>0.18</v>
      </c>
      <c r="V19" s="51">
        <v>3.38</v>
      </c>
      <c r="W19" s="45">
        <v>0.92307692307692313</v>
      </c>
      <c r="X19" s="11">
        <v>3.53</v>
      </c>
      <c r="Y19" s="4">
        <v>0.18</v>
      </c>
      <c r="Z19" s="5">
        <v>3.5</v>
      </c>
      <c r="AA19" s="5">
        <v>3.61</v>
      </c>
      <c r="AB19" s="9">
        <v>3.68</v>
      </c>
      <c r="AC19" s="57">
        <v>990.98</v>
      </c>
      <c r="AD19" s="57">
        <v>0.78</v>
      </c>
      <c r="AE19" s="57">
        <v>990.99</v>
      </c>
      <c r="AF19" s="57">
        <v>990.7</v>
      </c>
      <c r="AG19" s="57">
        <v>990.43</v>
      </c>
      <c r="AH19" s="59">
        <v>1000</v>
      </c>
      <c r="AI19" s="11">
        <v>990.98</v>
      </c>
      <c r="AJ19" s="43">
        <v>0.78</v>
      </c>
    </row>
    <row r="20" spans="1:36" x14ac:dyDescent="0.3">
      <c r="A20" s="37" t="s">
        <v>27</v>
      </c>
      <c r="B20" s="14" t="s">
        <v>15</v>
      </c>
      <c r="C20" s="73" t="s">
        <v>24</v>
      </c>
      <c r="D20" s="75">
        <v>4</v>
      </c>
      <c r="E20" s="25">
        <v>96</v>
      </c>
      <c r="F20" s="25">
        <v>4</v>
      </c>
      <c r="G20" s="22">
        <f t="shared" si="0"/>
        <v>24</v>
      </c>
      <c r="H20" s="23">
        <v>7</v>
      </c>
      <c r="I20" s="24">
        <v>3</v>
      </c>
      <c r="J20" s="55">
        <v>4</v>
      </c>
      <c r="K20" s="53">
        <v>2.78</v>
      </c>
      <c r="L20" s="51">
        <v>0.49</v>
      </c>
      <c r="M20" s="51">
        <v>3.05</v>
      </c>
      <c r="N20" s="16">
        <v>3.34</v>
      </c>
      <c r="O20" s="4">
        <v>0.14000000000000001</v>
      </c>
      <c r="P20" s="5">
        <v>3.35</v>
      </c>
      <c r="Q20" s="5">
        <v>3.35</v>
      </c>
      <c r="R20" s="5">
        <v>3.38</v>
      </c>
      <c r="S20" s="55">
        <v>4</v>
      </c>
      <c r="T20" s="53">
        <v>2.6</v>
      </c>
      <c r="U20" s="51">
        <v>0.44</v>
      </c>
      <c r="V20" s="51">
        <v>2.85</v>
      </c>
      <c r="W20" s="45">
        <v>1</v>
      </c>
      <c r="X20" s="11">
        <v>3.12</v>
      </c>
      <c r="Y20" s="4">
        <v>0.14000000000000001</v>
      </c>
      <c r="Z20" s="5">
        <v>3.11</v>
      </c>
      <c r="AA20" s="5">
        <v>3.11</v>
      </c>
      <c r="AB20" s="9">
        <v>3.15</v>
      </c>
      <c r="AC20" s="57">
        <v>992.44</v>
      </c>
      <c r="AD20" s="57">
        <v>0.49</v>
      </c>
      <c r="AE20" s="57">
        <v>992.46</v>
      </c>
      <c r="AF20" s="57">
        <v>992.46</v>
      </c>
      <c r="AG20" s="57">
        <v>992.34</v>
      </c>
      <c r="AH20" s="59">
        <v>1000</v>
      </c>
      <c r="AI20" s="11">
        <v>992.44</v>
      </c>
      <c r="AJ20" s="43">
        <v>0.49</v>
      </c>
    </row>
    <row r="21" spans="1:36" x14ac:dyDescent="0.3">
      <c r="A21" s="37" t="s">
        <v>27</v>
      </c>
      <c r="B21" s="14" t="s">
        <v>15</v>
      </c>
      <c r="C21" s="73" t="s">
        <v>26</v>
      </c>
      <c r="D21" s="75">
        <v>5</v>
      </c>
      <c r="E21" s="25">
        <v>47</v>
      </c>
      <c r="F21" s="25">
        <v>5</v>
      </c>
      <c r="G21" s="22">
        <f t="shared" si="0"/>
        <v>9.4</v>
      </c>
      <c r="H21" s="23">
        <v>8</v>
      </c>
      <c r="I21" s="24">
        <v>5</v>
      </c>
      <c r="J21" s="55">
        <v>5</v>
      </c>
      <c r="K21" s="53">
        <v>2.63</v>
      </c>
      <c r="L21" s="51">
        <v>0.13</v>
      </c>
      <c r="M21" s="51">
        <v>2.79</v>
      </c>
      <c r="N21" s="16">
        <v>3.12</v>
      </c>
      <c r="O21" s="4">
        <v>0.21</v>
      </c>
      <c r="P21" s="5">
        <v>2.88</v>
      </c>
      <c r="Q21" s="5">
        <v>3.25</v>
      </c>
      <c r="R21" s="5">
        <v>3.27</v>
      </c>
      <c r="S21" s="55">
        <v>5</v>
      </c>
      <c r="T21" s="53">
        <v>2.4700000000000002</v>
      </c>
      <c r="U21" s="51">
        <v>0.12</v>
      </c>
      <c r="V21" s="51">
        <v>2.61</v>
      </c>
      <c r="W21" s="45">
        <v>1</v>
      </c>
      <c r="X21" s="11">
        <v>2.93</v>
      </c>
      <c r="Y21" s="4">
        <v>0.2</v>
      </c>
      <c r="Z21" s="5">
        <v>2.72</v>
      </c>
      <c r="AA21" s="5">
        <v>3.04</v>
      </c>
      <c r="AB21" s="9">
        <v>3.11</v>
      </c>
      <c r="AC21" s="57">
        <v>993.08</v>
      </c>
      <c r="AD21" s="57">
        <v>0.69</v>
      </c>
      <c r="AE21" s="57">
        <v>993.77</v>
      </c>
      <c r="AF21" s="57">
        <v>992.7</v>
      </c>
      <c r="AG21" s="57">
        <v>992.45</v>
      </c>
      <c r="AH21" s="59">
        <v>1000</v>
      </c>
      <c r="AI21" s="11">
        <v>993.08</v>
      </c>
      <c r="AJ21" s="43">
        <v>0.69</v>
      </c>
    </row>
    <row r="22" spans="1:36" x14ac:dyDescent="0.3">
      <c r="A22" s="37" t="s">
        <v>27</v>
      </c>
      <c r="B22" s="14" t="s">
        <v>15</v>
      </c>
      <c r="C22" s="73" t="s">
        <v>29</v>
      </c>
      <c r="D22" s="75">
        <v>3</v>
      </c>
      <c r="E22" s="25">
        <v>28</v>
      </c>
      <c r="F22" s="25">
        <v>3</v>
      </c>
      <c r="G22" s="22">
        <f t="shared" si="0"/>
        <v>9.3333333333333339</v>
      </c>
      <c r="H22" s="23">
        <v>4</v>
      </c>
      <c r="I22" s="24">
        <v>3</v>
      </c>
      <c r="J22" s="55">
        <v>3</v>
      </c>
      <c r="K22" s="53">
        <v>3.38</v>
      </c>
      <c r="L22" s="51">
        <v>0.08</v>
      </c>
      <c r="M22" s="51" t="s">
        <v>127</v>
      </c>
      <c r="N22" s="16">
        <v>4.0599999999999996</v>
      </c>
      <c r="O22" s="4">
        <v>0.15</v>
      </c>
      <c r="P22" s="5" t="s">
        <v>127</v>
      </c>
      <c r="Q22" s="5" t="s">
        <v>126</v>
      </c>
      <c r="R22" s="5" t="s">
        <v>126</v>
      </c>
      <c r="S22" s="55">
        <v>3</v>
      </c>
      <c r="T22" s="53">
        <v>3.15</v>
      </c>
      <c r="U22" s="51">
        <v>0.08</v>
      </c>
      <c r="V22" s="51" t="s">
        <v>127</v>
      </c>
      <c r="W22" s="45">
        <v>1</v>
      </c>
      <c r="X22" s="11">
        <v>3.76</v>
      </c>
      <c r="Y22" s="4">
        <v>0.13</v>
      </c>
      <c r="Z22" s="5" t="s">
        <v>126</v>
      </c>
      <c r="AA22" s="5" t="s">
        <v>126</v>
      </c>
      <c r="AB22" s="9" t="s">
        <v>126</v>
      </c>
      <c r="AC22" s="57">
        <v>989.83</v>
      </c>
      <c r="AD22" s="57">
        <v>0.32</v>
      </c>
      <c r="AE22" s="57" t="s">
        <v>126</v>
      </c>
      <c r="AF22" s="57" t="s">
        <v>126</v>
      </c>
      <c r="AG22" s="57" t="s">
        <v>126</v>
      </c>
      <c r="AH22" s="59">
        <v>1000</v>
      </c>
      <c r="AI22" s="11">
        <v>989.83</v>
      </c>
      <c r="AJ22" s="43">
        <v>0.32</v>
      </c>
    </row>
    <row r="23" spans="1:36" x14ac:dyDescent="0.3">
      <c r="A23" s="37" t="s">
        <v>27</v>
      </c>
      <c r="B23" s="14" t="s">
        <v>15</v>
      </c>
      <c r="C23" s="73" t="s">
        <v>31</v>
      </c>
      <c r="D23" s="75">
        <v>5</v>
      </c>
      <c r="E23" s="25">
        <v>74</v>
      </c>
      <c r="F23" s="25">
        <v>5</v>
      </c>
      <c r="G23" s="22">
        <f t="shared" si="0"/>
        <v>14.8</v>
      </c>
      <c r="H23" s="23">
        <v>16</v>
      </c>
      <c r="I23" s="24">
        <v>4</v>
      </c>
      <c r="J23" s="55">
        <v>5</v>
      </c>
      <c r="K23" s="53">
        <v>2.4300000000000002</v>
      </c>
      <c r="L23" s="51">
        <v>0.25</v>
      </c>
      <c r="M23" s="51">
        <v>2.59</v>
      </c>
      <c r="N23" s="16">
        <v>2.98</v>
      </c>
      <c r="O23" s="4">
        <v>0.54</v>
      </c>
      <c r="P23" s="5">
        <v>3</v>
      </c>
      <c r="Q23" s="5">
        <v>3.04</v>
      </c>
      <c r="R23" s="5">
        <v>3.29</v>
      </c>
      <c r="S23" s="55">
        <v>5</v>
      </c>
      <c r="T23" s="53">
        <v>2.2799999999999998</v>
      </c>
      <c r="U23" s="51">
        <v>0.22</v>
      </c>
      <c r="V23" s="51">
        <v>2.4300000000000002</v>
      </c>
      <c r="W23" s="45">
        <v>1</v>
      </c>
      <c r="X23" s="11">
        <v>2.78</v>
      </c>
      <c r="Y23" s="4">
        <v>0.48</v>
      </c>
      <c r="Z23" s="5">
        <v>2.8</v>
      </c>
      <c r="AA23" s="5">
        <v>2.84</v>
      </c>
      <c r="AB23" s="9">
        <v>3.06</v>
      </c>
      <c r="AC23" s="57">
        <v>993.59</v>
      </c>
      <c r="AD23" s="57">
        <v>1.75</v>
      </c>
      <c r="AE23" s="57">
        <v>993.57</v>
      </c>
      <c r="AF23" s="57">
        <v>993.29</v>
      </c>
      <c r="AG23" s="57">
        <v>992.51</v>
      </c>
      <c r="AH23" s="59">
        <v>1000</v>
      </c>
      <c r="AI23" s="11">
        <v>993.59</v>
      </c>
      <c r="AJ23" s="43">
        <v>1.75</v>
      </c>
    </row>
    <row r="24" spans="1:36" x14ac:dyDescent="0.3">
      <c r="A24" s="37" t="s">
        <v>27</v>
      </c>
      <c r="B24" s="14" t="s">
        <v>15</v>
      </c>
      <c r="C24" s="73" t="s">
        <v>33</v>
      </c>
      <c r="D24" s="75">
        <v>16</v>
      </c>
      <c r="E24" s="25">
        <v>112</v>
      </c>
      <c r="F24" s="25">
        <v>15</v>
      </c>
      <c r="G24" s="22">
        <f t="shared" si="0"/>
        <v>7</v>
      </c>
      <c r="H24" s="23">
        <v>55</v>
      </c>
      <c r="I24" s="24">
        <v>13</v>
      </c>
      <c r="J24" s="55">
        <v>20</v>
      </c>
      <c r="K24" s="53">
        <v>2.41</v>
      </c>
      <c r="L24" s="51">
        <v>0.08</v>
      </c>
      <c r="M24" s="51">
        <v>2.48</v>
      </c>
      <c r="N24" s="16">
        <v>2.83</v>
      </c>
      <c r="O24" s="4">
        <v>0.28000000000000003</v>
      </c>
      <c r="P24" s="5">
        <v>2.82</v>
      </c>
      <c r="Q24" s="5">
        <v>2.98</v>
      </c>
      <c r="R24" s="5">
        <v>3.16</v>
      </c>
      <c r="S24" s="55">
        <v>20</v>
      </c>
      <c r="T24" s="53">
        <v>2.27</v>
      </c>
      <c r="U24" s="51">
        <v>7.0000000000000007E-2</v>
      </c>
      <c r="V24" s="51">
        <v>2.33</v>
      </c>
      <c r="W24" s="45">
        <v>0.93333333333333335</v>
      </c>
      <c r="X24" s="11">
        <v>2.65</v>
      </c>
      <c r="Y24" s="4">
        <v>0.25</v>
      </c>
      <c r="Z24" s="5">
        <v>2.64</v>
      </c>
      <c r="AA24" s="5">
        <v>2.78</v>
      </c>
      <c r="AB24" s="9">
        <v>2.94</v>
      </c>
      <c r="AC24" s="57">
        <v>994.03</v>
      </c>
      <c r="AD24" s="57">
        <v>0.93</v>
      </c>
      <c r="AE24" s="57">
        <v>994.15</v>
      </c>
      <c r="AF24" s="57">
        <v>993.64</v>
      </c>
      <c r="AG24" s="57">
        <v>992.96</v>
      </c>
      <c r="AH24" s="59">
        <v>1000</v>
      </c>
      <c r="AI24" s="11">
        <v>994.03</v>
      </c>
      <c r="AJ24" s="43">
        <v>0.93</v>
      </c>
    </row>
    <row r="25" spans="1:36" x14ac:dyDescent="0.3">
      <c r="A25" s="37" t="s">
        <v>27</v>
      </c>
      <c r="B25" s="14" t="s">
        <v>15</v>
      </c>
      <c r="C25" s="73" t="s">
        <v>36</v>
      </c>
      <c r="D25" s="75">
        <v>16</v>
      </c>
      <c r="E25" s="25">
        <v>97</v>
      </c>
      <c r="F25" s="25">
        <v>15</v>
      </c>
      <c r="G25" s="22">
        <f t="shared" si="0"/>
        <v>6.0625</v>
      </c>
      <c r="H25" s="23">
        <v>37</v>
      </c>
      <c r="I25" s="24">
        <v>11</v>
      </c>
      <c r="J25" s="55">
        <v>18</v>
      </c>
      <c r="K25" s="53">
        <v>2.7</v>
      </c>
      <c r="L25" s="51">
        <v>0.35</v>
      </c>
      <c r="M25" s="51">
        <v>2.96</v>
      </c>
      <c r="N25" s="16">
        <v>3.06</v>
      </c>
      <c r="O25" s="4">
        <v>0.52</v>
      </c>
      <c r="P25" s="5">
        <v>3.27</v>
      </c>
      <c r="Q25" s="5">
        <v>3.29</v>
      </c>
      <c r="R25" s="5">
        <v>3.42</v>
      </c>
      <c r="S25" s="55">
        <v>18</v>
      </c>
      <c r="T25" s="53">
        <v>2.54</v>
      </c>
      <c r="U25" s="51">
        <v>0.3</v>
      </c>
      <c r="V25" s="51">
        <v>2.76</v>
      </c>
      <c r="W25" s="45">
        <v>0.93333333333333335</v>
      </c>
      <c r="X25" s="11">
        <v>2.86</v>
      </c>
      <c r="Y25" s="4">
        <v>0.46</v>
      </c>
      <c r="Z25" s="5">
        <v>3.04</v>
      </c>
      <c r="AA25" s="5">
        <v>3.07</v>
      </c>
      <c r="AB25" s="9">
        <v>3.18</v>
      </c>
      <c r="AC25" s="57">
        <v>993.31</v>
      </c>
      <c r="AD25" s="57">
        <v>1.66</v>
      </c>
      <c r="AE25" s="57">
        <v>992.7</v>
      </c>
      <c r="AF25" s="57">
        <v>992.49</v>
      </c>
      <c r="AG25" s="57">
        <v>992.21</v>
      </c>
      <c r="AH25" s="59">
        <v>1000</v>
      </c>
      <c r="AI25" s="11">
        <v>993.31</v>
      </c>
      <c r="AJ25" s="43">
        <v>1.66</v>
      </c>
    </row>
    <row r="26" spans="1:36" ht="12.75" customHeight="1" x14ac:dyDescent="0.3">
      <c r="A26" s="37" t="s">
        <v>27</v>
      </c>
      <c r="B26" s="14" t="s">
        <v>15</v>
      </c>
      <c r="C26" s="73" t="s">
        <v>38</v>
      </c>
      <c r="D26" s="75">
        <v>7</v>
      </c>
      <c r="E26" s="25">
        <v>138</v>
      </c>
      <c r="F26" s="25">
        <v>7</v>
      </c>
      <c r="G26" s="22">
        <f t="shared" si="0"/>
        <v>19.714285714285715</v>
      </c>
      <c r="H26" s="23">
        <v>13</v>
      </c>
      <c r="I26" s="24">
        <v>6</v>
      </c>
      <c r="J26" s="55">
        <v>7</v>
      </c>
      <c r="K26" s="53">
        <v>2.38</v>
      </c>
      <c r="L26" s="51">
        <v>0.36</v>
      </c>
      <c r="M26" s="51">
        <v>2.61</v>
      </c>
      <c r="N26" s="16">
        <v>2.96</v>
      </c>
      <c r="O26" s="4">
        <v>0.48</v>
      </c>
      <c r="P26" s="5">
        <v>2.91</v>
      </c>
      <c r="Q26" s="5">
        <v>3.14</v>
      </c>
      <c r="R26" s="5">
        <v>3.28</v>
      </c>
      <c r="S26" s="55">
        <v>7</v>
      </c>
      <c r="T26" s="53">
        <v>2.25</v>
      </c>
      <c r="U26" s="51">
        <v>0.31</v>
      </c>
      <c r="V26" s="51">
        <v>2.4500000000000002</v>
      </c>
      <c r="W26" s="45">
        <v>1</v>
      </c>
      <c r="X26" s="11">
        <v>2.76</v>
      </c>
      <c r="Y26" s="4">
        <v>0.43</v>
      </c>
      <c r="Z26" s="5">
        <v>2.72</v>
      </c>
      <c r="AA26" s="5">
        <v>2.92</v>
      </c>
      <c r="AB26" s="9">
        <v>3.07</v>
      </c>
      <c r="AC26" s="57">
        <v>993.68</v>
      </c>
      <c r="AD26" s="57">
        <v>1.55</v>
      </c>
      <c r="AE26" s="57">
        <v>993.86</v>
      </c>
      <c r="AF26" s="57">
        <v>993.13</v>
      </c>
      <c r="AG26" s="57">
        <v>992.57</v>
      </c>
      <c r="AH26" s="59">
        <v>1000</v>
      </c>
      <c r="AI26" s="11">
        <v>993.68</v>
      </c>
      <c r="AJ26" s="43">
        <v>1.55</v>
      </c>
    </row>
    <row r="27" spans="1:36" x14ac:dyDescent="0.3">
      <c r="A27" s="37" t="s">
        <v>27</v>
      </c>
      <c r="B27" s="14" t="s">
        <v>16</v>
      </c>
      <c r="C27" s="73" t="s">
        <v>41</v>
      </c>
      <c r="D27" s="75">
        <v>64</v>
      </c>
      <c r="E27" s="25">
        <v>331</v>
      </c>
      <c r="F27" s="25">
        <v>60</v>
      </c>
      <c r="G27" s="22">
        <f t="shared" si="0"/>
        <v>5.171875</v>
      </c>
      <c r="H27" s="23">
        <v>90</v>
      </c>
      <c r="I27" s="24">
        <v>46</v>
      </c>
      <c r="J27" s="55">
        <v>72</v>
      </c>
      <c r="K27" s="53">
        <v>2.93</v>
      </c>
      <c r="L27" s="51">
        <v>0.25</v>
      </c>
      <c r="M27" s="51">
        <v>3.44</v>
      </c>
      <c r="N27" s="16">
        <v>3.38</v>
      </c>
      <c r="O27" s="4">
        <v>0.33</v>
      </c>
      <c r="P27" s="5">
        <v>3.47</v>
      </c>
      <c r="Q27" s="5">
        <v>3.64</v>
      </c>
      <c r="R27" s="5">
        <v>3.73</v>
      </c>
      <c r="S27" s="55">
        <v>72</v>
      </c>
      <c r="T27" s="53">
        <v>2.74</v>
      </c>
      <c r="U27" s="51">
        <v>0.22</v>
      </c>
      <c r="V27" s="51">
        <v>3.2</v>
      </c>
      <c r="W27" s="45">
        <v>0.8833333333333333</v>
      </c>
      <c r="X27" s="11">
        <v>3.15</v>
      </c>
      <c r="Y27" s="4">
        <v>0.28999999999999998</v>
      </c>
      <c r="Z27" s="5">
        <v>3.23</v>
      </c>
      <c r="AA27" s="5">
        <v>3.38</v>
      </c>
      <c r="AB27" s="9">
        <v>3.46</v>
      </c>
      <c r="AC27" s="57">
        <v>992.31</v>
      </c>
      <c r="AD27" s="57">
        <v>1.01</v>
      </c>
      <c r="AE27" s="57">
        <v>992.2</v>
      </c>
      <c r="AF27" s="57">
        <v>991.61</v>
      </c>
      <c r="AG27" s="57">
        <v>991.37</v>
      </c>
      <c r="AH27" s="59">
        <v>1000</v>
      </c>
      <c r="AI27" s="11">
        <v>992.31</v>
      </c>
      <c r="AJ27" s="43">
        <v>1.01</v>
      </c>
    </row>
    <row r="28" spans="1:36" x14ac:dyDescent="0.3">
      <c r="A28" s="37" t="s">
        <v>27</v>
      </c>
      <c r="B28" s="14" t="s">
        <v>19</v>
      </c>
      <c r="C28" s="73" t="s">
        <v>43</v>
      </c>
      <c r="D28" s="75">
        <v>40</v>
      </c>
      <c r="E28" s="25">
        <v>287</v>
      </c>
      <c r="F28" s="25">
        <v>37</v>
      </c>
      <c r="G28" s="22">
        <f t="shared" si="0"/>
        <v>7.1749999999999998</v>
      </c>
      <c r="H28" s="23">
        <v>59</v>
      </c>
      <c r="I28" s="24">
        <v>26</v>
      </c>
      <c r="J28" s="55">
        <v>41</v>
      </c>
      <c r="K28" s="53">
        <v>3.09</v>
      </c>
      <c r="L28" s="51">
        <v>0.65</v>
      </c>
      <c r="M28" s="51">
        <v>3.59</v>
      </c>
      <c r="N28" s="16">
        <v>3.66</v>
      </c>
      <c r="O28" s="4">
        <v>0.3</v>
      </c>
      <c r="P28" s="5">
        <v>3.8</v>
      </c>
      <c r="Q28" s="5">
        <v>3.86</v>
      </c>
      <c r="R28" s="5">
        <v>3.97</v>
      </c>
      <c r="S28" s="55">
        <v>41</v>
      </c>
      <c r="T28" s="53">
        <v>2.89</v>
      </c>
      <c r="U28" s="51">
        <v>0.57999999999999996</v>
      </c>
      <c r="V28" s="51">
        <v>3.33</v>
      </c>
      <c r="W28" s="45">
        <v>0.83783783783783783</v>
      </c>
      <c r="X28" s="11">
        <v>3.41</v>
      </c>
      <c r="Y28" s="4">
        <v>0.27</v>
      </c>
      <c r="Z28" s="5">
        <v>3.52</v>
      </c>
      <c r="AA28" s="5">
        <v>3.59</v>
      </c>
      <c r="AB28" s="9">
        <v>3.67</v>
      </c>
      <c r="AC28" s="57">
        <v>991.41</v>
      </c>
      <c r="AD28" s="57">
        <v>0.96</v>
      </c>
      <c r="AE28" s="57">
        <v>991.07</v>
      </c>
      <c r="AF28" s="57">
        <v>990.93</v>
      </c>
      <c r="AG28" s="57">
        <v>990.63</v>
      </c>
      <c r="AH28" s="59">
        <v>1000</v>
      </c>
      <c r="AI28" s="11">
        <v>991.41</v>
      </c>
      <c r="AJ28" s="43">
        <v>0.96</v>
      </c>
    </row>
    <row r="29" spans="1:36" x14ac:dyDescent="0.3">
      <c r="A29" s="37" t="s">
        <v>27</v>
      </c>
      <c r="B29" s="14" t="s">
        <v>20</v>
      </c>
      <c r="C29" s="73" t="s">
        <v>44</v>
      </c>
      <c r="D29" s="75">
        <v>10</v>
      </c>
      <c r="E29" s="25">
        <v>111</v>
      </c>
      <c r="F29" s="25">
        <v>10</v>
      </c>
      <c r="G29" s="22">
        <f t="shared" si="0"/>
        <v>11.1</v>
      </c>
      <c r="H29" s="23">
        <v>26</v>
      </c>
      <c r="I29" s="24">
        <v>10</v>
      </c>
      <c r="J29" s="55">
        <v>10</v>
      </c>
      <c r="K29" s="53">
        <v>1.1000000000000001</v>
      </c>
      <c r="L29" s="51">
        <v>0.03</v>
      </c>
      <c r="M29" s="51">
        <v>1.1200000000000001</v>
      </c>
      <c r="N29" s="16">
        <v>1.19</v>
      </c>
      <c r="O29" s="4">
        <v>0.03</v>
      </c>
      <c r="P29" s="5">
        <v>1.17</v>
      </c>
      <c r="Q29" s="5">
        <v>1.21</v>
      </c>
      <c r="R29" s="5">
        <v>1.22</v>
      </c>
      <c r="S29" s="55">
        <v>10</v>
      </c>
      <c r="T29" s="53">
        <v>1.0900000000000001</v>
      </c>
      <c r="U29" s="51">
        <v>0.03</v>
      </c>
      <c r="V29" s="51">
        <v>1.1100000000000001</v>
      </c>
      <c r="W29" s="45">
        <v>1</v>
      </c>
      <c r="X29" s="11">
        <v>1.17</v>
      </c>
      <c r="Y29" s="4">
        <v>0.03</v>
      </c>
      <c r="Z29" s="5">
        <v>1.1599999999999999</v>
      </c>
      <c r="AA29" s="5">
        <v>1.19</v>
      </c>
      <c r="AB29" s="9">
        <v>1.2</v>
      </c>
      <c r="AC29" s="57">
        <v>999.4</v>
      </c>
      <c r="AD29" s="57">
        <v>0.11</v>
      </c>
      <c r="AE29" s="57">
        <v>999.44</v>
      </c>
      <c r="AF29" s="57">
        <v>999.32</v>
      </c>
      <c r="AG29" s="57">
        <v>999.28</v>
      </c>
      <c r="AH29" s="59">
        <v>1000</v>
      </c>
      <c r="AI29" s="11">
        <v>999.4</v>
      </c>
      <c r="AJ29" s="43">
        <v>0.11</v>
      </c>
    </row>
    <row r="30" spans="1:36" x14ac:dyDescent="0.3">
      <c r="A30" s="37" t="s">
        <v>27</v>
      </c>
      <c r="B30" s="14" t="s">
        <v>21</v>
      </c>
      <c r="C30" s="73" t="s">
        <v>45</v>
      </c>
      <c r="D30" s="75">
        <v>4</v>
      </c>
      <c r="E30" s="25">
        <v>49</v>
      </c>
      <c r="F30" s="25">
        <v>4</v>
      </c>
      <c r="G30" s="22">
        <f t="shared" si="0"/>
        <v>12.25</v>
      </c>
      <c r="H30" s="23">
        <v>4</v>
      </c>
      <c r="I30" s="24">
        <v>2</v>
      </c>
      <c r="J30" s="55">
        <v>4</v>
      </c>
      <c r="K30" s="53">
        <v>1.02</v>
      </c>
      <c r="L30" s="51">
        <v>0.02</v>
      </c>
      <c r="M30" s="51">
        <v>1.03</v>
      </c>
      <c r="N30" s="16">
        <v>1.04</v>
      </c>
      <c r="O30" s="4">
        <v>0.03</v>
      </c>
      <c r="P30" s="5">
        <v>1.04</v>
      </c>
      <c r="Q30" s="5">
        <v>1.04</v>
      </c>
      <c r="R30" s="5">
        <v>1.04</v>
      </c>
      <c r="S30" s="55">
        <v>4</v>
      </c>
      <c r="T30" s="53">
        <v>1.02</v>
      </c>
      <c r="U30" s="51">
        <v>0.02</v>
      </c>
      <c r="V30" s="51">
        <v>1.03</v>
      </c>
      <c r="W30" s="45">
        <v>0.75</v>
      </c>
      <c r="X30" s="11">
        <v>1.04</v>
      </c>
      <c r="Y30" s="4">
        <v>0.03</v>
      </c>
      <c r="Z30" s="5">
        <v>1.04</v>
      </c>
      <c r="AA30" s="5">
        <v>1.04</v>
      </c>
      <c r="AB30" s="9">
        <v>1.04</v>
      </c>
      <c r="AC30" s="57">
        <v>999.87</v>
      </c>
      <c r="AD30" s="57">
        <v>0.1</v>
      </c>
      <c r="AE30" s="57">
        <v>999.87</v>
      </c>
      <c r="AF30" s="57">
        <v>999.87</v>
      </c>
      <c r="AG30" s="57">
        <v>999.86</v>
      </c>
      <c r="AH30" s="59">
        <v>1000</v>
      </c>
      <c r="AI30" s="11">
        <v>999.87</v>
      </c>
      <c r="AJ30" s="43">
        <v>0.1</v>
      </c>
    </row>
    <row r="31" spans="1:36" x14ac:dyDescent="0.3">
      <c r="A31" s="37" t="s">
        <v>27</v>
      </c>
      <c r="B31" s="14" t="s">
        <v>25</v>
      </c>
      <c r="C31" s="73" t="s">
        <v>64</v>
      </c>
      <c r="D31" s="75">
        <v>19</v>
      </c>
      <c r="E31" s="25">
        <v>356</v>
      </c>
      <c r="F31" s="25">
        <v>19</v>
      </c>
      <c r="G31" s="22">
        <f t="shared" si="0"/>
        <v>18.736842105263158</v>
      </c>
      <c r="H31" s="23">
        <v>12</v>
      </c>
      <c r="I31" s="24">
        <v>6</v>
      </c>
      <c r="J31" s="55">
        <v>19</v>
      </c>
      <c r="K31" s="53">
        <v>1.21</v>
      </c>
      <c r="L31" s="51">
        <v>0.06</v>
      </c>
      <c r="M31" s="51">
        <v>1.25</v>
      </c>
      <c r="N31" s="16">
        <v>1.25</v>
      </c>
      <c r="O31" s="4">
        <v>0.05</v>
      </c>
      <c r="P31" s="5">
        <v>1.23</v>
      </c>
      <c r="Q31" s="5">
        <v>1.26</v>
      </c>
      <c r="R31" s="5">
        <v>1.3</v>
      </c>
      <c r="S31" s="55">
        <v>19</v>
      </c>
      <c r="T31" s="53">
        <v>1.19</v>
      </c>
      <c r="U31" s="51">
        <v>0.05</v>
      </c>
      <c r="V31" s="51">
        <v>1.23</v>
      </c>
      <c r="W31" s="45">
        <v>1</v>
      </c>
      <c r="X31" s="11">
        <v>1.22</v>
      </c>
      <c r="Y31" s="4">
        <v>0.05</v>
      </c>
      <c r="Z31" s="5">
        <v>1.21</v>
      </c>
      <c r="AA31" s="5">
        <v>1.24</v>
      </c>
      <c r="AB31" s="9">
        <v>1.27</v>
      </c>
      <c r="AC31" s="57">
        <v>999.21</v>
      </c>
      <c r="AD31" s="57">
        <v>0.17</v>
      </c>
      <c r="AE31" s="57">
        <v>999.25</v>
      </c>
      <c r="AF31" s="57">
        <v>999.16</v>
      </c>
      <c r="AG31" s="57">
        <v>999.04</v>
      </c>
      <c r="AH31" s="59">
        <v>1000</v>
      </c>
      <c r="AI31" s="11">
        <v>999.21</v>
      </c>
      <c r="AJ31" s="43">
        <v>0.17</v>
      </c>
    </row>
    <row r="32" spans="1:36" x14ac:dyDescent="0.3">
      <c r="A32" s="37" t="s">
        <v>27</v>
      </c>
      <c r="B32" s="14" t="s">
        <v>28</v>
      </c>
      <c r="C32" s="73" t="s">
        <v>65</v>
      </c>
      <c r="D32" s="75">
        <v>10</v>
      </c>
      <c r="E32" s="25">
        <v>74</v>
      </c>
      <c r="F32" s="25">
        <v>10</v>
      </c>
      <c r="G32" s="22">
        <f t="shared" si="0"/>
        <v>7.4</v>
      </c>
      <c r="H32" s="23">
        <v>18</v>
      </c>
      <c r="I32" s="24">
        <v>7</v>
      </c>
      <c r="J32" s="55">
        <v>10</v>
      </c>
      <c r="K32" s="53">
        <v>3.57</v>
      </c>
      <c r="L32" s="51">
        <v>0.11</v>
      </c>
      <c r="M32" s="51">
        <v>3.7</v>
      </c>
      <c r="N32" s="16">
        <v>3.8</v>
      </c>
      <c r="O32" s="4">
        <v>0.12</v>
      </c>
      <c r="P32" s="5">
        <v>3.81</v>
      </c>
      <c r="Q32" s="5">
        <v>3.82</v>
      </c>
      <c r="R32" s="5">
        <v>3.85</v>
      </c>
      <c r="S32" s="55">
        <v>10</v>
      </c>
      <c r="T32" s="53">
        <v>3.32</v>
      </c>
      <c r="U32" s="51">
        <v>0.1</v>
      </c>
      <c r="V32" s="51">
        <v>3.43</v>
      </c>
      <c r="W32" s="45">
        <v>1</v>
      </c>
      <c r="X32" s="11">
        <v>3.52</v>
      </c>
      <c r="Y32" s="4">
        <v>0.1</v>
      </c>
      <c r="Z32" s="5">
        <v>3.53</v>
      </c>
      <c r="AA32" s="5">
        <v>3.54</v>
      </c>
      <c r="AB32" s="9">
        <v>3.57</v>
      </c>
      <c r="AC32" s="57">
        <v>990.91</v>
      </c>
      <c r="AD32" s="57">
        <v>0.37</v>
      </c>
      <c r="AE32" s="57">
        <v>990.96</v>
      </c>
      <c r="AF32" s="57">
        <v>990.83</v>
      </c>
      <c r="AG32" s="57">
        <v>990.69</v>
      </c>
      <c r="AH32" s="59">
        <v>1000</v>
      </c>
      <c r="AI32" s="11">
        <v>990.91</v>
      </c>
      <c r="AJ32" s="43">
        <v>0.37</v>
      </c>
    </row>
    <row r="33" spans="1:36" x14ac:dyDescent="0.3">
      <c r="A33" s="37" t="s">
        <v>27</v>
      </c>
      <c r="B33" s="14" t="s">
        <v>28</v>
      </c>
      <c r="C33" s="73" t="s">
        <v>66</v>
      </c>
      <c r="D33" s="75">
        <v>9</v>
      </c>
      <c r="E33" s="25">
        <v>62</v>
      </c>
      <c r="F33" s="25">
        <v>9</v>
      </c>
      <c r="G33" s="22">
        <f t="shared" si="0"/>
        <v>6.8888888888888893</v>
      </c>
      <c r="H33" s="23">
        <v>20</v>
      </c>
      <c r="I33" s="24">
        <v>9</v>
      </c>
      <c r="J33" s="55">
        <v>9</v>
      </c>
      <c r="K33" s="53">
        <v>3.11</v>
      </c>
      <c r="L33" s="51">
        <v>0.3</v>
      </c>
      <c r="M33" s="51">
        <v>3.39</v>
      </c>
      <c r="N33" s="16">
        <v>3.79</v>
      </c>
      <c r="O33" s="4">
        <v>0.14000000000000001</v>
      </c>
      <c r="P33" s="5">
        <v>3.76</v>
      </c>
      <c r="Q33" s="5">
        <v>4.09</v>
      </c>
      <c r="R33" s="5">
        <v>4.09</v>
      </c>
      <c r="S33" s="55">
        <v>9</v>
      </c>
      <c r="T33" s="53">
        <v>2.9</v>
      </c>
      <c r="U33" s="51">
        <v>0.27</v>
      </c>
      <c r="V33" s="51">
        <v>3.17</v>
      </c>
      <c r="W33" s="45">
        <v>0.66666666666666663</v>
      </c>
      <c r="X33" s="11">
        <v>3.52</v>
      </c>
      <c r="Y33" s="4">
        <v>0.12</v>
      </c>
      <c r="Z33" s="5">
        <v>3.48</v>
      </c>
      <c r="AA33" s="5">
        <v>3.78</v>
      </c>
      <c r="AB33" s="9">
        <v>3.78</v>
      </c>
      <c r="AC33" s="57">
        <v>991.03</v>
      </c>
      <c r="AD33" s="57">
        <v>0.5</v>
      </c>
      <c r="AE33" s="57">
        <v>991.09</v>
      </c>
      <c r="AF33" s="57">
        <v>991.07</v>
      </c>
      <c r="AG33" s="57">
        <v>991.06</v>
      </c>
      <c r="AH33" s="59">
        <v>1000</v>
      </c>
      <c r="AI33" s="11">
        <v>991.03</v>
      </c>
      <c r="AJ33" s="43">
        <v>0.5</v>
      </c>
    </row>
    <row r="34" spans="1:36" x14ac:dyDescent="0.3">
      <c r="A34" s="37" t="s">
        <v>27</v>
      </c>
      <c r="B34" s="14" t="s">
        <v>28</v>
      </c>
      <c r="C34" s="73" t="s">
        <v>67</v>
      </c>
      <c r="D34" s="75">
        <v>10</v>
      </c>
      <c r="E34" s="25">
        <v>117</v>
      </c>
      <c r="F34" s="25">
        <v>10</v>
      </c>
      <c r="G34" s="22">
        <f t="shared" si="0"/>
        <v>11.7</v>
      </c>
      <c r="H34" s="23">
        <v>2</v>
      </c>
      <c r="I34" s="24">
        <v>2</v>
      </c>
      <c r="J34" s="55">
        <v>10</v>
      </c>
      <c r="K34" s="53">
        <v>3.7</v>
      </c>
      <c r="L34" s="51">
        <v>0.27</v>
      </c>
      <c r="M34" s="51">
        <v>3.99</v>
      </c>
      <c r="N34" s="16">
        <v>3.85</v>
      </c>
      <c r="O34" s="4">
        <v>0.19</v>
      </c>
      <c r="P34" s="5">
        <v>3.99</v>
      </c>
      <c r="Q34" s="5">
        <v>4.01</v>
      </c>
      <c r="R34" s="5">
        <v>4.01</v>
      </c>
      <c r="S34" s="55">
        <v>10</v>
      </c>
      <c r="T34" s="53">
        <v>3.47</v>
      </c>
      <c r="U34" s="51">
        <v>0.23</v>
      </c>
      <c r="V34" s="51">
        <v>3.69</v>
      </c>
      <c r="W34" s="45">
        <v>0.6</v>
      </c>
      <c r="X34" s="11">
        <v>3.6</v>
      </c>
      <c r="Y34" s="4">
        <v>0.12</v>
      </c>
      <c r="Z34" s="5">
        <v>3.69</v>
      </c>
      <c r="AA34" s="5">
        <v>3.71</v>
      </c>
      <c r="AB34" s="9">
        <v>3.71</v>
      </c>
      <c r="AC34" s="57">
        <v>991.12</v>
      </c>
      <c r="AD34" s="57">
        <v>0.85</v>
      </c>
      <c r="AE34" s="57">
        <v>990.86</v>
      </c>
      <c r="AF34" s="57">
        <v>990.47</v>
      </c>
      <c r="AG34" s="57">
        <v>990.39</v>
      </c>
      <c r="AH34" s="59">
        <v>1000</v>
      </c>
      <c r="AI34" s="11">
        <v>991.12</v>
      </c>
      <c r="AJ34" s="43">
        <v>0.85</v>
      </c>
    </row>
    <row r="35" spans="1:36" x14ac:dyDescent="0.3">
      <c r="A35" s="37" t="s">
        <v>27</v>
      </c>
      <c r="B35" s="14" t="s">
        <v>28</v>
      </c>
      <c r="C35" s="73" t="s">
        <v>68</v>
      </c>
      <c r="D35" s="75">
        <v>13</v>
      </c>
      <c r="E35" s="25">
        <v>86</v>
      </c>
      <c r="F35" s="25">
        <v>13</v>
      </c>
      <c r="G35" s="22">
        <f t="shared" si="0"/>
        <v>6.615384615384615</v>
      </c>
      <c r="H35" s="23">
        <v>26</v>
      </c>
      <c r="I35" s="24">
        <v>11</v>
      </c>
      <c r="J35" s="55">
        <v>13</v>
      </c>
      <c r="K35" s="53">
        <v>2.9</v>
      </c>
      <c r="L35" s="51">
        <v>0.22</v>
      </c>
      <c r="M35" s="51">
        <v>3.11</v>
      </c>
      <c r="N35" s="16">
        <v>3.37</v>
      </c>
      <c r="O35" s="4">
        <v>0.15</v>
      </c>
      <c r="P35" s="5">
        <v>3.33</v>
      </c>
      <c r="Q35" s="5">
        <v>3.48</v>
      </c>
      <c r="R35" s="5">
        <v>3.56</v>
      </c>
      <c r="S35" s="55">
        <v>13</v>
      </c>
      <c r="T35" s="53">
        <v>2.71</v>
      </c>
      <c r="U35" s="51">
        <v>0.2</v>
      </c>
      <c r="V35" s="51">
        <v>2.9</v>
      </c>
      <c r="W35" s="45">
        <v>0.92307692307692313</v>
      </c>
      <c r="X35" s="11">
        <v>3.14</v>
      </c>
      <c r="Y35" s="4">
        <v>0.14000000000000001</v>
      </c>
      <c r="Z35" s="5">
        <v>3.15</v>
      </c>
      <c r="AA35" s="5">
        <v>3.23</v>
      </c>
      <c r="AB35" s="9">
        <v>3.3</v>
      </c>
      <c r="AC35" s="57">
        <v>992.35</v>
      </c>
      <c r="AD35" s="57">
        <v>0.51</v>
      </c>
      <c r="AE35" s="57">
        <v>992.5</v>
      </c>
      <c r="AF35" s="57">
        <v>992.03</v>
      </c>
      <c r="AG35" s="57">
        <v>991.77</v>
      </c>
      <c r="AH35" s="59">
        <v>1000</v>
      </c>
      <c r="AI35" s="11">
        <v>992.35</v>
      </c>
      <c r="AJ35" s="43">
        <v>0.51</v>
      </c>
    </row>
    <row r="36" spans="1:36" x14ac:dyDescent="0.3">
      <c r="A36" s="37" t="s">
        <v>27</v>
      </c>
      <c r="B36" s="14" t="s">
        <v>28</v>
      </c>
      <c r="C36" s="73" t="s">
        <v>69</v>
      </c>
      <c r="D36" s="75">
        <v>12</v>
      </c>
      <c r="E36" s="25">
        <v>70</v>
      </c>
      <c r="F36" s="25">
        <v>12</v>
      </c>
      <c r="G36" s="22">
        <f t="shared" si="0"/>
        <v>5.833333333333333</v>
      </c>
      <c r="H36" s="23">
        <v>20</v>
      </c>
      <c r="I36" s="24">
        <v>9</v>
      </c>
      <c r="J36" s="55">
        <v>12</v>
      </c>
      <c r="K36" s="53">
        <v>3.18</v>
      </c>
      <c r="L36" s="51">
        <v>0.32</v>
      </c>
      <c r="M36" s="51">
        <v>3.45</v>
      </c>
      <c r="N36" s="16">
        <v>3.66</v>
      </c>
      <c r="O36" s="4">
        <v>0.18</v>
      </c>
      <c r="P36" s="5">
        <v>3.74</v>
      </c>
      <c r="Q36" s="5">
        <v>3.84</v>
      </c>
      <c r="R36" s="5">
        <v>3.89</v>
      </c>
      <c r="S36" s="55">
        <v>12</v>
      </c>
      <c r="T36" s="53">
        <v>2.96</v>
      </c>
      <c r="U36" s="51">
        <v>0.28999999999999998</v>
      </c>
      <c r="V36" s="51">
        <v>3.21</v>
      </c>
      <c r="W36" s="45">
        <v>0.83333333333333337</v>
      </c>
      <c r="X36" s="11">
        <v>3.4</v>
      </c>
      <c r="Y36" s="4">
        <v>0.17</v>
      </c>
      <c r="Z36" s="5">
        <v>3.5</v>
      </c>
      <c r="AA36" s="5">
        <v>3.55</v>
      </c>
      <c r="AB36" s="9">
        <v>3.6</v>
      </c>
      <c r="AC36" s="57">
        <v>991.25</v>
      </c>
      <c r="AD36" s="57">
        <v>0.93</v>
      </c>
      <c r="AE36" s="57">
        <v>991.5</v>
      </c>
      <c r="AF36" s="57">
        <v>990.75</v>
      </c>
      <c r="AG36" s="57">
        <v>990.19</v>
      </c>
      <c r="AH36" s="59">
        <v>1000</v>
      </c>
      <c r="AI36" s="11">
        <v>991.25</v>
      </c>
      <c r="AJ36" s="43">
        <v>0.93</v>
      </c>
    </row>
    <row r="37" spans="1:36" x14ac:dyDescent="0.3">
      <c r="A37" s="37" t="s">
        <v>27</v>
      </c>
      <c r="B37" s="14" t="s">
        <v>28</v>
      </c>
      <c r="C37" s="73" t="s">
        <v>70</v>
      </c>
      <c r="D37" s="75">
        <v>9</v>
      </c>
      <c r="E37" s="25">
        <v>57</v>
      </c>
      <c r="F37" s="25">
        <v>9</v>
      </c>
      <c r="G37" s="22">
        <f t="shared" si="0"/>
        <v>6.333333333333333</v>
      </c>
      <c r="H37" s="23">
        <v>10</v>
      </c>
      <c r="I37" s="24">
        <v>6</v>
      </c>
      <c r="J37" s="55">
        <v>9</v>
      </c>
      <c r="K37" s="53">
        <v>3.27</v>
      </c>
      <c r="L37" s="51">
        <v>0.53</v>
      </c>
      <c r="M37" s="51">
        <v>3.71</v>
      </c>
      <c r="N37" s="16">
        <v>3.91</v>
      </c>
      <c r="O37" s="4">
        <v>0.09</v>
      </c>
      <c r="P37" s="5">
        <v>3.93</v>
      </c>
      <c r="Q37" s="5">
        <v>3.98</v>
      </c>
      <c r="R37" s="5">
        <v>4</v>
      </c>
      <c r="S37" s="55">
        <v>9</v>
      </c>
      <c r="T37" s="53">
        <v>3.06</v>
      </c>
      <c r="U37" s="51">
        <v>0.43</v>
      </c>
      <c r="V37" s="51">
        <v>3.44</v>
      </c>
      <c r="W37" s="45">
        <v>0.77777777777777779</v>
      </c>
      <c r="X37" s="11">
        <v>3.62</v>
      </c>
      <c r="Y37" s="4">
        <v>0.08</v>
      </c>
      <c r="Z37" s="5">
        <v>3.64</v>
      </c>
      <c r="AA37" s="5">
        <v>3.68</v>
      </c>
      <c r="AB37" s="9">
        <v>3.7</v>
      </c>
      <c r="AC37" s="57">
        <v>990.88</v>
      </c>
      <c r="AD37" s="57">
        <v>0.75</v>
      </c>
      <c r="AE37" s="57">
        <v>990.64</v>
      </c>
      <c r="AF37" s="57">
        <v>990.58</v>
      </c>
      <c r="AG37" s="57">
        <v>990.26</v>
      </c>
      <c r="AH37" s="59">
        <v>1000</v>
      </c>
      <c r="AI37" s="11">
        <v>990.88</v>
      </c>
      <c r="AJ37" s="43">
        <v>0.75</v>
      </c>
    </row>
    <row r="38" spans="1:36" x14ac:dyDescent="0.3">
      <c r="A38" s="37" t="s">
        <v>27</v>
      </c>
      <c r="B38" s="14" t="s">
        <v>28</v>
      </c>
      <c r="C38" s="73" t="s">
        <v>71</v>
      </c>
      <c r="D38" s="75">
        <v>12</v>
      </c>
      <c r="E38" s="25">
        <v>66</v>
      </c>
      <c r="F38" s="25">
        <v>11</v>
      </c>
      <c r="G38" s="22">
        <f t="shared" si="0"/>
        <v>5.5</v>
      </c>
      <c r="H38" s="23">
        <v>21</v>
      </c>
      <c r="I38" s="24">
        <v>9</v>
      </c>
      <c r="J38" s="55">
        <v>12</v>
      </c>
      <c r="K38" s="53">
        <v>3.19</v>
      </c>
      <c r="L38" s="51">
        <v>0.22</v>
      </c>
      <c r="M38" s="51">
        <v>3.4</v>
      </c>
      <c r="N38" s="16">
        <v>3.59</v>
      </c>
      <c r="O38" s="4">
        <v>0.18</v>
      </c>
      <c r="P38" s="5">
        <v>3.56</v>
      </c>
      <c r="Q38" s="5">
        <v>3.61</v>
      </c>
      <c r="R38" s="5">
        <v>3.83</v>
      </c>
      <c r="S38" s="55">
        <v>12</v>
      </c>
      <c r="T38" s="53">
        <v>2.98</v>
      </c>
      <c r="U38" s="51">
        <v>0.21</v>
      </c>
      <c r="V38" s="51">
        <v>3.16</v>
      </c>
      <c r="W38" s="45">
        <v>0.90909090909090906</v>
      </c>
      <c r="X38" s="11">
        <v>3.34</v>
      </c>
      <c r="Y38" s="4">
        <v>0.15</v>
      </c>
      <c r="Z38" s="5">
        <v>3.3</v>
      </c>
      <c r="AA38" s="5">
        <v>3.35</v>
      </c>
      <c r="AB38" s="9">
        <v>3.55</v>
      </c>
      <c r="AC38" s="57">
        <v>991.62</v>
      </c>
      <c r="AD38" s="57">
        <v>0.69</v>
      </c>
      <c r="AE38" s="57">
        <v>991.86</v>
      </c>
      <c r="AF38" s="57">
        <v>991.62</v>
      </c>
      <c r="AG38" s="57">
        <v>990.78</v>
      </c>
      <c r="AH38" s="59">
        <v>1000</v>
      </c>
      <c r="AI38" s="11">
        <v>991.62</v>
      </c>
      <c r="AJ38" s="43">
        <v>0.69</v>
      </c>
    </row>
    <row r="39" spans="1:36" x14ac:dyDescent="0.3">
      <c r="A39" s="37" t="s">
        <v>27</v>
      </c>
      <c r="B39" s="14" t="s">
        <v>28</v>
      </c>
      <c r="C39" s="73" t="s">
        <v>72</v>
      </c>
      <c r="D39" s="75">
        <v>13</v>
      </c>
      <c r="E39" s="25">
        <v>101</v>
      </c>
      <c r="F39" s="25">
        <v>13</v>
      </c>
      <c r="G39" s="22">
        <f t="shared" si="0"/>
        <v>7.7692307692307692</v>
      </c>
      <c r="H39" s="23">
        <v>20</v>
      </c>
      <c r="I39" s="24">
        <v>10</v>
      </c>
      <c r="J39" s="55">
        <v>14</v>
      </c>
      <c r="K39" s="53">
        <v>3.16</v>
      </c>
      <c r="L39" s="51">
        <v>0.32</v>
      </c>
      <c r="M39" s="51">
        <v>3.56</v>
      </c>
      <c r="N39" s="16">
        <v>3.57</v>
      </c>
      <c r="O39" s="4">
        <v>0.43</v>
      </c>
      <c r="P39" s="5">
        <v>3.7</v>
      </c>
      <c r="Q39" s="5">
        <v>3.79</v>
      </c>
      <c r="R39" s="5">
        <v>3.88</v>
      </c>
      <c r="S39" s="55">
        <v>14</v>
      </c>
      <c r="T39" s="53">
        <v>2.95</v>
      </c>
      <c r="U39" s="51">
        <v>0.28000000000000003</v>
      </c>
      <c r="V39" s="51">
        <v>3.3</v>
      </c>
      <c r="W39" s="45">
        <v>0.84615384615384615</v>
      </c>
      <c r="X39" s="11">
        <v>3.32</v>
      </c>
      <c r="Y39" s="4">
        <v>0.39</v>
      </c>
      <c r="Z39" s="5">
        <v>3.43</v>
      </c>
      <c r="AA39" s="5">
        <v>3.51</v>
      </c>
      <c r="AB39" s="9">
        <v>3.6</v>
      </c>
      <c r="AC39" s="57">
        <v>991.75</v>
      </c>
      <c r="AD39" s="57">
        <v>1.31</v>
      </c>
      <c r="AE39" s="57">
        <v>991.4</v>
      </c>
      <c r="AF39" s="57">
        <v>991.15</v>
      </c>
      <c r="AG39" s="57">
        <v>990.77</v>
      </c>
      <c r="AH39" s="59">
        <v>1000</v>
      </c>
      <c r="AI39" s="11">
        <v>991.75</v>
      </c>
      <c r="AJ39" s="43">
        <v>1.31</v>
      </c>
    </row>
    <row r="40" spans="1:36" x14ac:dyDescent="0.3">
      <c r="A40" s="37" t="s">
        <v>27</v>
      </c>
      <c r="B40" s="14" t="s">
        <v>28</v>
      </c>
      <c r="C40" s="73" t="s">
        <v>73</v>
      </c>
      <c r="D40" s="75">
        <v>11</v>
      </c>
      <c r="E40" s="25">
        <v>90</v>
      </c>
      <c r="F40" s="25">
        <v>11</v>
      </c>
      <c r="G40" s="22">
        <f t="shared" si="0"/>
        <v>8.1818181818181817</v>
      </c>
      <c r="H40" s="23">
        <v>16</v>
      </c>
      <c r="I40" s="24">
        <v>10</v>
      </c>
      <c r="J40" s="55">
        <v>11</v>
      </c>
      <c r="K40" s="53">
        <v>3.58</v>
      </c>
      <c r="L40" s="51">
        <v>0.11</v>
      </c>
      <c r="M40" s="51">
        <v>3.72</v>
      </c>
      <c r="N40" s="16">
        <v>3.88</v>
      </c>
      <c r="O40" s="4">
        <v>0.09</v>
      </c>
      <c r="P40" s="5">
        <v>3.89</v>
      </c>
      <c r="Q40" s="5">
        <v>3.97</v>
      </c>
      <c r="R40" s="5">
        <v>3.99</v>
      </c>
      <c r="S40" s="55">
        <v>11</v>
      </c>
      <c r="T40" s="53">
        <v>3.32</v>
      </c>
      <c r="U40" s="51">
        <v>0.1</v>
      </c>
      <c r="V40" s="51">
        <v>3.45</v>
      </c>
      <c r="W40" s="45">
        <v>0.72727272727272729</v>
      </c>
      <c r="X40" s="11">
        <v>3.59</v>
      </c>
      <c r="Y40" s="4">
        <v>0.08</v>
      </c>
      <c r="Z40" s="5">
        <v>3.6</v>
      </c>
      <c r="AA40" s="5">
        <v>3.67</v>
      </c>
      <c r="AB40" s="9">
        <v>3.69</v>
      </c>
      <c r="AC40" s="57">
        <v>990.7</v>
      </c>
      <c r="AD40" s="57">
        <v>0.3</v>
      </c>
      <c r="AE40" s="57">
        <v>990.77</v>
      </c>
      <c r="AF40" s="57">
        <v>990.48</v>
      </c>
      <c r="AG40" s="57">
        <v>990.45</v>
      </c>
      <c r="AH40" s="59">
        <v>1000</v>
      </c>
      <c r="AI40" s="11">
        <v>990.7</v>
      </c>
      <c r="AJ40" s="43">
        <v>0.3</v>
      </c>
    </row>
    <row r="41" spans="1:36" x14ac:dyDescent="0.3">
      <c r="A41" s="37" t="s">
        <v>27</v>
      </c>
      <c r="B41" s="14" t="s">
        <v>28</v>
      </c>
      <c r="C41" s="73" t="s">
        <v>74</v>
      </c>
      <c r="D41" s="75">
        <v>10</v>
      </c>
      <c r="E41" s="25">
        <v>130</v>
      </c>
      <c r="F41" s="25">
        <v>9</v>
      </c>
      <c r="G41" s="22">
        <f t="shared" si="0"/>
        <v>13</v>
      </c>
      <c r="H41" s="23">
        <v>14</v>
      </c>
      <c r="I41" s="24">
        <v>7</v>
      </c>
      <c r="J41" s="55">
        <v>10</v>
      </c>
      <c r="K41" s="53">
        <v>3.43</v>
      </c>
      <c r="L41" s="51">
        <v>0.19</v>
      </c>
      <c r="M41" s="51">
        <v>3.61</v>
      </c>
      <c r="N41" s="16">
        <v>3.61</v>
      </c>
      <c r="O41" s="4">
        <v>0.28999999999999998</v>
      </c>
      <c r="P41" s="5">
        <v>3.78</v>
      </c>
      <c r="Q41" s="5">
        <v>3.89</v>
      </c>
      <c r="R41" s="5">
        <v>3.89</v>
      </c>
      <c r="S41" s="55">
        <v>10</v>
      </c>
      <c r="T41" s="53">
        <v>3.22</v>
      </c>
      <c r="U41" s="51">
        <v>0.11</v>
      </c>
      <c r="V41" s="51">
        <v>3.35</v>
      </c>
      <c r="W41" s="45">
        <v>0.55555555555555558</v>
      </c>
      <c r="X41" s="11">
        <v>3.42</v>
      </c>
      <c r="Y41" s="4">
        <v>0.21</v>
      </c>
      <c r="Z41" s="5">
        <v>3.53</v>
      </c>
      <c r="AA41" s="5">
        <v>3.61</v>
      </c>
      <c r="AB41" s="9">
        <v>3.61</v>
      </c>
      <c r="AC41" s="57">
        <v>991.2</v>
      </c>
      <c r="AD41" s="57">
        <v>0.6</v>
      </c>
      <c r="AE41" s="57">
        <v>990.95</v>
      </c>
      <c r="AF41" s="57">
        <v>990.91</v>
      </c>
      <c r="AG41" s="57">
        <v>990.77</v>
      </c>
      <c r="AH41" s="59">
        <v>1000</v>
      </c>
      <c r="AI41" s="11">
        <v>991.2</v>
      </c>
      <c r="AJ41" s="43">
        <v>0.6</v>
      </c>
    </row>
    <row r="42" spans="1:36" x14ac:dyDescent="0.3">
      <c r="A42" s="37" t="s">
        <v>27</v>
      </c>
      <c r="B42" s="14" t="s">
        <v>28</v>
      </c>
      <c r="C42" s="73" t="s">
        <v>75</v>
      </c>
      <c r="D42" s="75">
        <v>11</v>
      </c>
      <c r="E42" s="25">
        <v>77</v>
      </c>
      <c r="F42" s="25">
        <v>11</v>
      </c>
      <c r="G42" s="22">
        <f t="shared" si="0"/>
        <v>7</v>
      </c>
      <c r="H42" s="23">
        <v>7</v>
      </c>
      <c r="I42" s="24">
        <v>5</v>
      </c>
      <c r="J42" s="55">
        <v>11</v>
      </c>
      <c r="K42" s="53">
        <v>3.83</v>
      </c>
      <c r="L42" s="51">
        <v>0.18</v>
      </c>
      <c r="M42" s="51">
        <v>4</v>
      </c>
      <c r="N42" s="16">
        <v>4</v>
      </c>
      <c r="O42" s="4">
        <v>0.18</v>
      </c>
      <c r="P42" s="5">
        <v>4</v>
      </c>
      <c r="Q42" s="5">
        <v>4.13</v>
      </c>
      <c r="R42" s="5">
        <v>4.18</v>
      </c>
      <c r="S42" s="55">
        <v>11</v>
      </c>
      <c r="T42" s="53">
        <v>3.55</v>
      </c>
      <c r="U42" s="51">
        <v>0.16</v>
      </c>
      <c r="V42" s="51">
        <v>3.7</v>
      </c>
      <c r="W42" s="45">
        <v>0.90909090909090906</v>
      </c>
      <c r="X42" s="11">
        <v>3.72</v>
      </c>
      <c r="Y42" s="4">
        <v>0.17</v>
      </c>
      <c r="Z42" s="5">
        <v>3.7</v>
      </c>
      <c r="AA42" s="5">
        <v>3.86</v>
      </c>
      <c r="AB42" s="9">
        <v>3.88</v>
      </c>
      <c r="AC42" s="57">
        <v>990.19</v>
      </c>
      <c r="AD42" s="57">
        <v>0.55000000000000004</v>
      </c>
      <c r="AE42" s="57">
        <v>990.28</v>
      </c>
      <c r="AF42" s="57">
        <v>989.84</v>
      </c>
      <c r="AG42" s="57">
        <v>989.71</v>
      </c>
      <c r="AH42" s="59">
        <v>1000</v>
      </c>
      <c r="AI42" s="11">
        <v>990.19</v>
      </c>
      <c r="AJ42" s="43">
        <v>0.55000000000000004</v>
      </c>
    </row>
    <row r="43" spans="1:36" x14ac:dyDescent="0.3">
      <c r="A43" s="37" t="s">
        <v>27</v>
      </c>
      <c r="B43" s="14" t="s">
        <v>28</v>
      </c>
      <c r="C43" s="73" t="s">
        <v>76</v>
      </c>
      <c r="D43" s="75">
        <v>1</v>
      </c>
      <c r="E43" s="25">
        <v>14</v>
      </c>
      <c r="F43" s="25">
        <v>1</v>
      </c>
      <c r="G43" s="22">
        <f t="shared" si="0"/>
        <v>14</v>
      </c>
      <c r="H43" s="23" t="s">
        <v>134</v>
      </c>
      <c r="I43" s="24" t="s">
        <v>134</v>
      </c>
      <c r="J43" s="55">
        <v>1</v>
      </c>
      <c r="K43" s="53" t="s">
        <v>99</v>
      </c>
      <c r="L43" s="53" t="s">
        <v>87</v>
      </c>
      <c r="M43" s="51" t="s">
        <v>99</v>
      </c>
      <c r="N43" s="16" t="s">
        <v>99</v>
      </c>
      <c r="O43" s="4" t="s">
        <v>87</v>
      </c>
      <c r="P43" s="5" t="s">
        <v>99</v>
      </c>
      <c r="Q43" s="5" t="s">
        <v>99</v>
      </c>
      <c r="R43" s="5" t="s">
        <v>99</v>
      </c>
      <c r="S43" s="55">
        <v>1</v>
      </c>
      <c r="T43" s="53" t="s">
        <v>99</v>
      </c>
      <c r="U43" s="53" t="s">
        <v>87</v>
      </c>
      <c r="V43" s="51" t="s">
        <v>99</v>
      </c>
      <c r="W43" s="45">
        <v>0</v>
      </c>
      <c r="X43" s="11" t="s">
        <v>99</v>
      </c>
      <c r="Y43" s="4" t="s">
        <v>87</v>
      </c>
      <c r="Z43" s="5" t="s">
        <v>99</v>
      </c>
      <c r="AA43" s="5" t="s">
        <v>99</v>
      </c>
      <c r="AB43" s="9" t="s">
        <v>99</v>
      </c>
      <c r="AC43" s="57" t="s">
        <v>99</v>
      </c>
      <c r="AD43" s="53" t="s">
        <v>87</v>
      </c>
      <c r="AE43" s="51" t="s">
        <v>99</v>
      </c>
      <c r="AF43" s="51" t="s">
        <v>99</v>
      </c>
      <c r="AG43" s="51" t="s">
        <v>99</v>
      </c>
      <c r="AH43" s="59">
        <v>1000</v>
      </c>
      <c r="AI43" s="11" t="s">
        <v>99</v>
      </c>
      <c r="AJ43" s="43" t="s">
        <v>99</v>
      </c>
    </row>
    <row r="44" spans="1:36" x14ac:dyDescent="0.3">
      <c r="A44" s="37" t="s">
        <v>27</v>
      </c>
      <c r="B44" s="14" t="s">
        <v>30</v>
      </c>
      <c r="C44" s="73" t="s">
        <v>77</v>
      </c>
      <c r="D44" s="75">
        <v>70</v>
      </c>
      <c r="E44" s="25">
        <v>332</v>
      </c>
      <c r="F44" s="25">
        <v>67</v>
      </c>
      <c r="G44" s="22">
        <f t="shared" si="0"/>
        <v>4.7428571428571429</v>
      </c>
      <c r="H44" s="23">
        <v>75</v>
      </c>
      <c r="I44" s="24">
        <v>48</v>
      </c>
      <c r="J44" s="55">
        <v>76</v>
      </c>
      <c r="K44" s="53">
        <v>3.39</v>
      </c>
      <c r="L44" s="51">
        <v>0.31</v>
      </c>
      <c r="M44" s="51">
        <v>3.69</v>
      </c>
      <c r="N44" s="16">
        <v>3.77</v>
      </c>
      <c r="O44" s="4">
        <v>0.21</v>
      </c>
      <c r="P44" s="5">
        <v>3.81</v>
      </c>
      <c r="Q44" s="5">
        <v>3.9</v>
      </c>
      <c r="R44" s="5">
        <v>4.0199999999999996</v>
      </c>
      <c r="S44" s="55">
        <v>76</v>
      </c>
      <c r="T44" s="53">
        <v>3.16</v>
      </c>
      <c r="U44" s="51">
        <v>0.28000000000000003</v>
      </c>
      <c r="V44" s="51">
        <v>3.43</v>
      </c>
      <c r="W44" s="45">
        <v>0.95522388059701491</v>
      </c>
      <c r="X44" s="11">
        <v>3.5</v>
      </c>
      <c r="Y44" s="4">
        <v>0.19</v>
      </c>
      <c r="Z44" s="5">
        <v>3.53</v>
      </c>
      <c r="AA44" s="5">
        <v>3.61</v>
      </c>
      <c r="AB44" s="9">
        <v>3.72</v>
      </c>
      <c r="AC44" s="57">
        <v>990.96</v>
      </c>
      <c r="AD44" s="57">
        <v>0.72</v>
      </c>
      <c r="AE44" s="57">
        <v>990.86</v>
      </c>
      <c r="AF44" s="57">
        <v>990.53</v>
      </c>
      <c r="AG44" s="57">
        <v>990.26</v>
      </c>
      <c r="AH44" s="59">
        <v>1000</v>
      </c>
      <c r="AI44" s="11">
        <v>990.96</v>
      </c>
      <c r="AJ44" s="43">
        <v>0.72</v>
      </c>
    </row>
    <row r="45" spans="1:36" x14ac:dyDescent="0.3">
      <c r="A45" s="37" t="s">
        <v>27</v>
      </c>
      <c r="B45" s="14" t="s">
        <v>30</v>
      </c>
      <c r="C45" s="73" t="s">
        <v>78</v>
      </c>
      <c r="D45" s="75">
        <v>71</v>
      </c>
      <c r="E45" s="25">
        <v>613</v>
      </c>
      <c r="F45" s="25">
        <v>69</v>
      </c>
      <c r="G45" s="22">
        <f t="shared" si="0"/>
        <v>8.6338028169014081</v>
      </c>
      <c r="H45" s="23">
        <v>39</v>
      </c>
      <c r="I45" s="24">
        <v>29</v>
      </c>
      <c r="J45" s="55">
        <v>73</v>
      </c>
      <c r="K45" s="53">
        <v>3.98</v>
      </c>
      <c r="L45" s="51">
        <v>0.23</v>
      </c>
      <c r="M45" s="51">
        <v>4.17</v>
      </c>
      <c r="N45" s="16">
        <v>4.1500000000000004</v>
      </c>
      <c r="O45" s="4">
        <v>0.18</v>
      </c>
      <c r="P45" s="5">
        <v>4.17</v>
      </c>
      <c r="Q45" s="5">
        <v>4.28</v>
      </c>
      <c r="R45" s="5">
        <v>4.32</v>
      </c>
      <c r="S45" s="55">
        <v>73</v>
      </c>
      <c r="T45" s="53">
        <v>3.7</v>
      </c>
      <c r="U45" s="51">
        <v>0.22</v>
      </c>
      <c r="V45" s="51">
        <v>3.88</v>
      </c>
      <c r="W45" s="45">
        <v>0.97101449275362317</v>
      </c>
      <c r="X45" s="11">
        <v>3.85</v>
      </c>
      <c r="Y45" s="4">
        <v>0.16</v>
      </c>
      <c r="Z45" s="5">
        <v>3.88</v>
      </c>
      <c r="AA45" s="5">
        <v>3.96</v>
      </c>
      <c r="AB45" s="9">
        <v>4</v>
      </c>
      <c r="AC45" s="57">
        <v>989.68</v>
      </c>
      <c r="AD45" s="57">
        <v>0.6</v>
      </c>
      <c r="AE45" s="57">
        <v>989.58</v>
      </c>
      <c r="AF45" s="57">
        <v>989.28</v>
      </c>
      <c r="AG45" s="57">
        <v>989.12</v>
      </c>
      <c r="AH45" s="59">
        <v>1000</v>
      </c>
      <c r="AI45" s="11">
        <v>989.68</v>
      </c>
      <c r="AJ45" s="43">
        <v>0.6</v>
      </c>
    </row>
    <row r="46" spans="1:36" x14ac:dyDescent="0.3">
      <c r="A46" s="37" t="s">
        <v>27</v>
      </c>
      <c r="B46" s="14" t="s">
        <v>32</v>
      </c>
      <c r="C46" s="73" t="s">
        <v>79</v>
      </c>
      <c r="D46" s="75">
        <v>3</v>
      </c>
      <c r="E46" s="25">
        <v>46</v>
      </c>
      <c r="F46" s="25">
        <v>3</v>
      </c>
      <c r="G46" s="22">
        <f t="shared" si="0"/>
        <v>15.333333333333334</v>
      </c>
      <c r="H46" s="23">
        <v>7</v>
      </c>
      <c r="I46" s="24">
        <v>3</v>
      </c>
      <c r="J46" s="55">
        <v>3</v>
      </c>
      <c r="K46" s="53">
        <v>1.01</v>
      </c>
      <c r="L46" s="51">
        <v>0.01</v>
      </c>
      <c r="M46" s="51" t="s">
        <v>127</v>
      </c>
      <c r="N46" s="16">
        <v>1.04</v>
      </c>
      <c r="O46" s="4">
        <v>0.01</v>
      </c>
      <c r="P46" s="5" t="s">
        <v>127</v>
      </c>
      <c r="Q46" s="5" t="s">
        <v>126</v>
      </c>
      <c r="R46" s="5" t="s">
        <v>126</v>
      </c>
      <c r="S46" s="55">
        <v>3</v>
      </c>
      <c r="T46" s="53">
        <v>1.01</v>
      </c>
      <c r="U46" s="51">
        <v>0.01</v>
      </c>
      <c r="V46" s="51" t="s">
        <v>127</v>
      </c>
      <c r="W46" s="45">
        <v>1</v>
      </c>
      <c r="X46" s="11">
        <v>1.04</v>
      </c>
      <c r="Y46" s="4">
        <v>0.01</v>
      </c>
      <c r="Z46" s="5" t="s">
        <v>126</v>
      </c>
      <c r="AA46" s="5" t="s">
        <v>126</v>
      </c>
      <c r="AB46" s="9" t="s">
        <v>126</v>
      </c>
      <c r="AC46" s="57">
        <v>999.86</v>
      </c>
      <c r="AD46" s="57">
        <v>0.04</v>
      </c>
      <c r="AE46" s="57" t="s">
        <v>126</v>
      </c>
      <c r="AF46" s="57" t="s">
        <v>126</v>
      </c>
      <c r="AG46" s="57" t="s">
        <v>126</v>
      </c>
      <c r="AH46" s="59">
        <v>1000</v>
      </c>
      <c r="AI46" s="11">
        <v>999.86</v>
      </c>
      <c r="AJ46" s="43">
        <v>0.04</v>
      </c>
    </row>
    <row r="47" spans="1:36" x14ac:dyDescent="0.3">
      <c r="A47" s="37" t="s">
        <v>27</v>
      </c>
      <c r="B47" s="14" t="s">
        <v>35</v>
      </c>
      <c r="C47" s="73" t="s">
        <v>80</v>
      </c>
      <c r="D47" s="75">
        <v>31</v>
      </c>
      <c r="E47" s="25">
        <v>288</v>
      </c>
      <c r="F47" s="25">
        <v>31</v>
      </c>
      <c r="G47" s="22">
        <f t="shared" si="0"/>
        <v>9.2903225806451619</v>
      </c>
      <c r="H47" s="23">
        <v>16</v>
      </c>
      <c r="I47" s="24">
        <v>13</v>
      </c>
      <c r="J47" s="55">
        <v>31</v>
      </c>
      <c r="K47" s="53">
        <v>4.66</v>
      </c>
      <c r="L47" s="51">
        <v>0.22</v>
      </c>
      <c r="M47" s="51">
        <v>5.0199999999999996</v>
      </c>
      <c r="N47" s="16">
        <v>4.75</v>
      </c>
      <c r="O47" s="4">
        <v>0.24</v>
      </c>
      <c r="P47" s="5">
        <v>4.79</v>
      </c>
      <c r="Q47" s="5">
        <v>4.8899999999999997</v>
      </c>
      <c r="R47" s="5">
        <v>4.99</v>
      </c>
      <c r="S47" s="55">
        <v>31</v>
      </c>
      <c r="T47" s="53">
        <v>4.3</v>
      </c>
      <c r="U47" s="51">
        <v>0.19</v>
      </c>
      <c r="V47" s="51">
        <v>4.62</v>
      </c>
      <c r="W47" s="45">
        <v>0.967741935483871</v>
      </c>
      <c r="X47" s="11">
        <v>4.3899999999999997</v>
      </c>
      <c r="Y47" s="4">
        <v>0.21</v>
      </c>
      <c r="Z47" s="5">
        <v>4.42</v>
      </c>
      <c r="AA47" s="5">
        <v>4.5</v>
      </c>
      <c r="AB47" s="9">
        <v>4.6399999999999997</v>
      </c>
      <c r="AC47" s="57">
        <v>987.11</v>
      </c>
      <c r="AD47" s="57">
        <v>1.29</v>
      </c>
      <c r="AE47" s="57">
        <v>986.74</v>
      </c>
      <c r="AF47" s="57">
        <v>986.3</v>
      </c>
      <c r="AG47" s="57">
        <v>986.04</v>
      </c>
      <c r="AH47" s="59">
        <v>1000</v>
      </c>
      <c r="AI47" s="11">
        <v>987.11</v>
      </c>
      <c r="AJ47" s="43">
        <v>1.29</v>
      </c>
    </row>
    <row r="48" spans="1:36" x14ac:dyDescent="0.3">
      <c r="A48" s="37" t="s">
        <v>27</v>
      </c>
      <c r="B48" s="14" t="s">
        <v>37</v>
      </c>
      <c r="C48" s="73" t="s">
        <v>81</v>
      </c>
      <c r="D48" s="75">
        <v>50</v>
      </c>
      <c r="E48" s="25">
        <v>541</v>
      </c>
      <c r="F48" s="25">
        <v>47</v>
      </c>
      <c r="G48" s="22">
        <f t="shared" si="0"/>
        <v>10.82</v>
      </c>
      <c r="H48" s="23">
        <v>45</v>
      </c>
      <c r="I48" s="24">
        <v>27</v>
      </c>
      <c r="J48" s="55">
        <v>50</v>
      </c>
      <c r="K48" s="53">
        <v>3.34</v>
      </c>
      <c r="L48" s="51">
        <v>0.38</v>
      </c>
      <c r="M48" s="51">
        <v>3.68</v>
      </c>
      <c r="N48" s="16">
        <v>3.58</v>
      </c>
      <c r="O48" s="4">
        <v>0.38</v>
      </c>
      <c r="P48" s="5">
        <v>3.7</v>
      </c>
      <c r="Q48" s="5">
        <v>3.74</v>
      </c>
      <c r="R48" s="5">
        <v>3.81</v>
      </c>
      <c r="S48" s="55">
        <v>50</v>
      </c>
      <c r="T48" s="53">
        <v>3.11</v>
      </c>
      <c r="U48" s="51">
        <v>0.34</v>
      </c>
      <c r="V48" s="51">
        <v>3.41</v>
      </c>
      <c r="W48" s="45">
        <v>0.93617021276595747</v>
      </c>
      <c r="X48" s="11">
        <v>3.32</v>
      </c>
      <c r="Y48" s="4">
        <v>0.34</v>
      </c>
      <c r="Z48" s="5">
        <v>3.44</v>
      </c>
      <c r="AA48" s="5">
        <v>3.47</v>
      </c>
      <c r="AB48" s="9">
        <v>3.53</v>
      </c>
      <c r="AC48" s="57">
        <v>991.64</v>
      </c>
      <c r="AD48" s="57">
        <v>1.21</v>
      </c>
      <c r="AE48" s="57">
        <v>991.3</v>
      </c>
      <c r="AF48" s="57">
        <v>991.09</v>
      </c>
      <c r="AG48" s="57">
        <v>990.94</v>
      </c>
      <c r="AH48" s="59">
        <v>1000</v>
      </c>
      <c r="AI48" s="11">
        <v>991.64</v>
      </c>
      <c r="AJ48" s="43">
        <v>1.21</v>
      </c>
    </row>
    <row r="49" spans="1:36" x14ac:dyDescent="0.3">
      <c r="A49" s="37" t="s">
        <v>27</v>
      </c>
      <c r="B49" s="14" t="s">
        <v>37</v>
      </c>
      <c r="C49" s="73" t="s">
        <v>82</v>
      </c>
      <c r="D49" s="75">
        <v>9</v>
      </c>
      <c r="E49" s="25">
        <v>208</v>
      </c>
      <c r="F49" s="25">
        <v>9</v>
      </c>
      <c r="G49" s="22">
        <f t="shared" si="0"/>
        <v>23.111111111111111</v>
      </c>
      <c r="H49" s="23">
        <v>5</v>
      </c>
      <c r="I49" s="24">
        <v>4</v>
      </c>
      <c r="J49" s="55">
        <v>9</v>
      </c>
      <c r="K49" s="53">
        <v>4.3099999999999996</v>
      </c>
      <c r="L49" s="51">
        <v>0.11</v>
      </c>
      <c r="M49" s="51">
        <v>4.38</v>
      </c>
      <c r="N49" s="16">
        <v>4.41</v>
      </c>
      <c r="O49" s="4">
        <v>0.16</v>
      </c>
      <c r="P49" s="5">
        <v>4.34</v>
      </c>
      <c r="Q49" s="5">
        <v>4.43</v>
      </c>
      <c r="R49" s="5">
        <v>4.58</v>
      </c>
      <c r="S49" s="55">
        <v>9</v>
      </c>
      <c r="T49" s="53">
        <v>3.98</v>
      </c>
      <c r="U49" s="51">
        <v>0.1</v>
      </c>
      <c r="V49" s="51">
        <v>4.05</v>
      </c>
      <c r="W49" s="45">
        <v>1</v>
      </c>
      <c r="X49" s="11">
        <v>4.0999999999999996</v>
      </c>
      <c r="Y49" s="4">
        <v>0.18</v>
      </c>
      <c r="Z49" s="5">
        <v>4</v>
      </c>
      <c r="AA49" s="5">
        <v>4.09</v>
      </c>
      <c r="AB49" s="9">
        <v>4.22</v>
      </c>
      <c r="AC49" s="57">
        <v>988.44</v>
      </c>
      <c r="AD49" s="57">
        <v>0.78</v>
      </c>
      <c r="AE49" s="57">
        <v>988.63</v>
      </c>
      <c r="AF49" s="57">
        <v>987.95</v>
      </c>
      <c r="AG49" s="57">
        <v>987.72</v>
      </c>
      <c r="AH49" s="59">
        <v>1000</v>
      </c>
      <c r="AI49" s="11">
        <v>988.44</v>
      </c>
      <c r="AJ49" s="43">
        <v>0.78</v>
      </c>
    </row>
    <row r="50" spans="1:36" x14ac:dyDescent="0.3">
      <c r="A50" s="37" t="s">
        <v>27</v>
      </c>
      <c r="B50" s="14" t="s">
        <v>37</v>
      </c>
      <c r="C50" s="73" t="s">
        <v>83</v>
      </c>
      <c r="D50" s="75">
        <v>2</v>
      </c>
      <c r="E50" s="25">
        <v>17</v>
      </c>
      <c r="F50" s="25">
        <v>2</v>
      </c>
      <c r="G50" s="22">
        <f t="shared" si="0"/>
        <v>8.5</v>
      </c>
      <c r="H50" s="23" t="s">
        <v>134</v>
      </c>
      <c r="I50" s="24" t="s">
        <v>134</v>
      </c>
      <c r="J50" s="55">
        <v>2</v>
      </c>
      <c r="K50" s="53">
        <v>4.51</v>
      </c>
      <c r="L50" s="51" t="s">
        <v>125</v>
      </c>
      <c r="M50" s="51" t="s">
        <v>124</v>
      </c>
      <c r="N50" s="16">
        <v>4.51</v>
      </c>
      <c r="O50" s="4" t="s">
        <v>125</v>
      </c>
      <c r="P50" s="5" t="s">
        <v>124</v>
      </c>
      <c r="Q50" s="5" t="s">
        <v>124</v>
      </c>
      <c r="R50" s="5" t="s">
        <v>125</v>
      </c>
      <c r="S50" s="55">
        <v>2</v>
      </c>
      <c r="T50" s="53">
        <v>4.16</v>
      </c>
      <c r="U50" s="51" t="s">
        <v>124</v>
      </c>
      <c r="V50" s="51" t="s">
        <v>124</v>
      </c>
      <c r="W50" s="45">
        <v>0.5</v>
      </c>
      <c r="X50" s="11">
        <v>4.16</v>
      </c>
      <c r="Y50" s="4" t="s">
        <v>124</v>
      </c>
      <c r="Z50" s="5" t="s">
        <v>124</v>
      </c>
      <c r="AA50" s="5" t="s">
        <v>124</v>
      </c>
      <c r="AB50" s="9" t="s">
        <v>124</v>
      </c>
      <c r="AC50" s="57">
        <v>990.2</v>
      </c>
      <c r="AD50" s="57" t="s">
        <v>124</v>
      </c>
      <c r="AE50" s="57" t="s">
        <v>124</v>
      </c>
      <c r="AF50" s="57" t="s">
        <v>124</v>
      </c>
      <c r="AG50" s="57" t="s">
        <v>124</v>
      </c>
      <c r="AH50" s="59">
        <v>1000</v>
      </c>
      <c r="AI50" s="11">
        <v>990.2</v>
      </c>
      <c r="AJ50" s="43" t="s">
        <v>124</v>
      </c>
    </row>
    <row r="51" spans="1:36" x14ac:dyDescent="0.3">
      <c r="A51" s="37" t="s">
        <v>27</v>
      </c>
      <c r="B51" s="14" t="s">
        <v>37</v>
      </c>
      <c r="C51" s="73" t="s">
        <v>103</v>
      </c>
      <c r="D51" s="75">
        <v>14</v>
      </c>
      <c r="E51" s="25">
        <v>105</v>
      </c>
      <c r="F51" s="25">
        <v>14</v>
      </c>
      <c r="G51" s="22">
        <f t="shared" si="0"/>
        <v>7.5</v>
      </c>
      <c r="H51" s="23">
        <v>5</v>
      </c>
      <c r="I51" s="24">
        <v>4</v>
      </c>
      <c r="J51" s="55">
        <v>14</v>
      </c>
      <c r="K51" s="53">
        <v>4.22</v>
      </c>
      <c r="L51" s="51">
        <v>0.24</v>
      </c>
      <c r="M51" s="51">
        <v>4.41</v>
      </c>
      <c r="N51" s="16">
        <v>4.37</v>
      </c>
      <c r="O51" s="4">
        <v>0.18</v>
      </c>
      <c r="P51" s="5">
        <v>4.37</v>
      </c>
      <c r="Q51" s="5">
        <v>4.43</v>
      </c>
      <c r="R51" s="5">
        <v>4.55</v>
      </c>
      <c r="S51" s="55">
        <v>14</v>
      </c>
      <c r="T51" s="53">
        <v>3.91</v>
      </c>
      <c r="U51" s="51">
        <v>0.22</v>
      </c>
      <c r="V51" s="51">
        <v>4.07</v>
      </c>
      <c r="W51" s="45">
        <v>0.9285714285714286</v>
      </c>
      <c r="X51" s="11">
        <v>4.04</v>
      </c>
      <c r="Y51" s="4">
        <v>0.16</v>
      </c>
      <c r="Z51" s="5">
        <v>4.04</v>
      </c>
      <c r="AA51" s="5">
        <v>4.1100000000000003</v>
      </c>
      <c r="AB51" s="9">
        <v>4.2</v>
      </c>
      <c r="AC51" s="57">
        <v>989.14</v>
      </c>
      <c r="AD51" s="57">
        <v>1.22</v>
      </c>
      <c r="AE51" s="57">
        <v>989.05</v>
      </c>
      <c r="AF51" s="57">
        <v>988.9</v>
      </c>
      <c r="AG51" s="57">
        <v>988.35</v>
      </c>
      <c r="AH51" s="59">
        <v>1000</v>
      </c>
      <c r="AI51" s="11">
        <v>989.14</v>
      </c>
      <c r="AJ51" s="43">
        <v>1.22</v>
      </c>
    </row>
    <row r="52" spans="1:36" x14ac:dyDescent="0.3">
      <c r="A52" s="37" t="s">
        <v>27</v>
      </c>
      <c r="B52" s="14" t="s">
        <v>37</v>
      </c>
      <c r="C52" s="73" t="s">
        <v>104</v>
      </c>
      <c r="D52" s="75">
        <v>8</v>
      </c>
      <c r="E52" s="25">
        <v>56</v>
      </c>
      <c r="F52" s="25">
        <v>8</v>
      </c>
      <c r="G52" s="22">
        <f t="shared" si="0"/>
        <v>7</v>
      </c>
      <c r="H52" s="23">
        <v>4</v>
      </c>
      <c r="I52" s="24">
        <v>3</v>
      </c>
      <c r="J52" s="55">
        <v>8</v>
      </c>
      <c r="K52" s="53">
        <v>3.22</v>
      </c>
      <c r="L52" s="51">
        <v>0.35</v>
      </c>
      <c r="M52" s="51">
        <v>3.49</v>
      </c>
      <c r="N52" s="16">
        <v>3.41</v>
      </c>
      <c r="O52" s="4">
        <v>0.36</v>
      </c>
      <c r="P52" s="5">
        <v>3.39</v>
      </c>
      <c r="Q52" s="5">
        <v>3.84</v>
      </c>
      <c r="R52" s="5">
        <v>3.93</v>
      </c>
      <c r="S52" s="55">
        <v>8</v>
      </c>
      <c r="T52" s="53">
        <v>3.01</v>
      </c>
      <c r="U52" s="51">
        <v>0.32</v>
      </c>
      <c r="V52" s="51">
        <v>3.24</v>
      </c>
      <c r="W52" s="45">
        <v>0.75</v>
      </c>
      <c r="X52" s="11">
        <v>3.18</v>
      </c>
      <c r="Y52" s="4">
        <v>0.32</v>
      </c>
      <c r="Z52" s="5">
        <v>3.15</v>
      </c>
      <c r="AA52" s="5">
        <v>3.58</v>
      </c>
      <c r="AB52" s="9">
        <v>3.64</v>
      </c>
      <c r="AC52" s="57">
        <v>991.86</v>
      </c>
      <c r="AD52" s="57">
        <v>1.2</v>
      </c>
      <c r="AE52" s="57">
        <v>992.33</v>
      </c>
      <c r="AF52" s="57">
        <v>991.67</v>
      </c>
      <c r="AG52" s="57">
        <v>990.77</v>
      </c>
      <c r="AH52" s="59">
        <v>1000</v>
      </c>
      <c r="AI52" s="11">
        <v>991.86</v>
      </c>
      <c r="AJ52" s="43">
        <v>1.2</v>
      </c>
    </row>
    <row r="53" spans="1:36" x14ac:dyDescent="0.3">
      <c r="A53" s="37" t="s">
        <v>110</v>
      </c>
      <c r="B53" s="14" t="s">
        <v>9</v>
      </c>
      <c r="C53" s="73" t="s">
        <v>10</v>
      </c>
      <c r="D53" s="75">
        <v>7</v>
      </c>
      <c r="E53" s="25">
        <v>42</v>
      </c>
      <c r="F53" s="25">
        <v>6</v>
      </c>
      <c r="G53" s="22">
        <f t="shared" si="0"/>
        <v>6</v>
      </c>
      <c r="H53" s="23">
        <v>13</v>
      </c>
      <c r="I53" s="24">
        <v>6</v>
      </c>
      <c r="J53" s="55">
        <v>7</v>
      </c>
      <c r="K53" s="53">
        <v>2.23</v>
      </c>
      <c r="L53" s="51">
        <v>0.17</v>
      </c>
      <c r="M53" s="51">
        <v>2.33</v>
      </c>
      <c r="N53" s="16">
        <v>2.71</v>
      </c>
      <c r="O53" s="4">
        <v>0.18</v>
      </c>
      <c r="P53" s="5">
        <v>2.67</v>
      </c>
      <c r="Q53" s="5">
        <v>2.69</v>
      </c>
      <c r="R53" s="5">
        <v>2.94</v>
      </c>
      <c r="S53" s="55">
        <v>7</v>
      </c>
      <c r="T53" s="53">
        <v>2.11</v>
      </c>
      <c r="U53" s="51">
        <v>0.15</v>
      </c>
      <c r="V53" s="51">
        <v>2.19</v>
      </c>
      <c r="W53" s="45">
        <v>1</v>
      </c>
      <c r="X53" s="11">
        <v>2.54</v>
      </c>
      <c r="Y53" s="4">
        <v>0.16</v>
      </c>
      <c r="Z53" s="5">
        <v>2.5</v>
      </c>
      <c r="AA53" s="5">
        <v>2.52</v>
      </c>
      <c r="AB53" s="9">
        <v>2.74</v>
      </c>
      <c r="AC53" s="57">
        <v>994.48</v>
      </c>
      <c r="AD53" s="57">
        <v>0.61</v>
      </c>
      <c r="AE53" s="57">
        <v>994.64</v>
      </c>
      <c r="AF53" s="57">
        <v>994.56</v>
      </c>
      <c r="AG53" s="57">
        <v>993.77</v>
      </c>
      <c r="AH53" s="59">
        <v>1000</v>
      </c>
      <c r="AI53" s="11">
        <v>994.48</v>
      </c>
      <c r="AJ53" s="43">
        <v>0.61</v>
      </c>
    </row>
    <row r="54" spans="1:36" x14ac:dyDescent="0.3">
      <c r="A54" s="37" t="s">
        <v>110</v>
      </c>
      <c r="B54" s="14" t="s">
        <v>17</v>
      </c>
      <c r="C54" s="73" t="s">
        <v>42</v>
      </c>
      <c r="D54" s="75">
        <v>73</v>
      </c>
      <c r="E54" s="25">
        <v>512</v>
      </c>
      <c r="F54" s="25">
        <v>70</v>
      </c>
      <c r="G54" s="22">
        <f t="shared" si="0"/>
        <v>7.0136986301369859</v>
      </c>
      <c r="H54" s="23">
        <v>99</v>
      </c>
      <c r="I54" s="24">
        <v>51</v>
      </c>
      <c r="J54" s="55">
        <v>77</v>
      </c>
      <c r="K54" s="53">
        <v>3.12</v>
      </c>
      <c r="L54" s="51">
        <v>0.3</v>
      </c>
      <c r="M54" s="51">
        <v>3.33</v>
      </c>
      <c r="N54" s="16">
        <v>3.51</v>
      </c>
      <c r="O54" s="4">
        <v>0.18</v>
      </c>
      <c r="P54" s="5">
        <v>3.55</v>
      </c>
      <c r="Q54" s="5">
        <v>3.61</v>
      </c>
      <c r="R54" s="5">
        <v>3.68</v>
      </c>
      <c r="S54" s="55">
        <v>77</v>
      </c>
      <c r="T54" s="53">
        <v>2.92</v>
      </c>
      <c r="U54" s="51">
        <v>0.27</v>
      </c>
      <c r="V54" s="51">
        <v>3.1</v>
      </c>
      <c r="W54" s="45">
        <v>0.97142857142857142</v>
      </c>
      <c r="X54" s="11">
        <v>3.26</v>
      </c>
      <c r="Y54" s="4">
        <v>0.16</v>
      </c>
      <c r="Z54" s="5">
        <v>3.3</v>
      </c>
      <c r="AA54" s="5">
        <v>3.36</v>
      </c>
      <c r="AB54" s="9">
        <v>3.42</v>
      </c>
      <c r="AC54" s="57">
        <v>991.85</v>
      </c>
      <c r="AD54" s="57">
        <v>0.56999999999999995</v>
      </c>
      <c r="AE54" s="57">
        <v>991.68</v>
      </c>
      <c r="AF54" s="57">
        <v>991.51</v>
      </c>
      <c r="AG54" s="57">
        <v>991.28</v>
      </c>
      <c r="AH54" s="59">
        <v>1000</v>
      </c>
      <c r="AI54" s="11">
        <v>991.85</v>
      </c>
      <c r="AJ54" s="43">
        <v>0.56999999999999995</v>
      </c>
    </row>
    <row r="55" spans="1:36" x14ac:dyDescent="0.3">
      <c r="A55" s="37" t="s">
        <v>110</v>
      </c>
      <c r="B55" s="14" t="s">
        <v>11</v>
      </c>
      <c r="C55" s="73" t="s">
        <v>12</v>
      </c>
      <c r="D55" s="75">
        <v>186</v>
      </c>
      <c r="E55" s="25">
        <v>780</v>
      </c>
      <c r="F55" s="25">
        <v>176</v>
      </c>
      <c r="G55" s="22">
        <f t="shared" si="0"/>
        <v>4.193548387096774</v>
      </c>
      <c r="H55" s="23">
        <v>202</v>
      </c>
      <c r="I55" s="24">
        <v>100</v>
      </c>
      <c r="J55" s="55">
        <v>191</v>
      </c>
      <c r="K55" s="53">
        <v>3.21</v>
      </c>
      <c r="L55" s="51">
        <v>0.28000000000000003</v>
      </c>
      <c r="M55" s="51">
        <v>3.46</v>
      </c>
      <c r="N55" s="16">
        <v>3.5</v>
      </c>
      <c r="O55" s="4">
        <v>0.26</v>
      </c>
      <c r="P55" s="5">
        <v>3.58</v>
      </c>
      <c r="Q55" s="5">
        <v>3.68</v>
      </c>
      <c r="R55" s="5">
        <v>3.74</v>
      </c>
      <c r="S55" s="55">
        <v>191</v>
      </c>
      <c r="T55" s="53">
        <v>3</v>
      </c>
      <c r="U55" s="51">
        <v>0.25</v>
      </c>
      <c r="V55" s="51">
        <v>3.23</v>
      </c>
      <c r="W55" s="45">
        <v>1</v>
      </c>
      <c r="X55" s="11">
        <v>3.26</v>
      </c>
      <c r="Y55" s="4">
        <v>0.24</v>
      </c>
      <c r="Z55" s="5">
        <v>3.33</v>
      </c>
      <c r="AA55" s="5">
        <v>3.43</v>
      </c>
      <c r="AB55" s="9">
        <v>3.48</v>
      </c>
      <c r="AC55" s="57">
        <v>991.87</v>
      </c>
      <c r="AD55" s="57">
        <v>0.87</v>
      </c>
      <c r="AE55" s="57">
        <v>991.62</v>
      </c>
      <c r="AF55" s="57">
        <v>991.26</v>
      </c>
      <c r="AG55" s="57">
        <v>991.05</v>
      </c>
      <c r="AH55" s="59">
        <v>1000</v>
      </c>
      <c r="AI55" s="11">
        <v>991.87</v>
      </c>
      <c r="AJ55" s="43">
        <v>0.87</v>
      </c>
    </row>
    <row r="56" spans="1:36" x14ac:dyDescent="0.3">
      <c r="A56" s="37" t="s">
        <v>110</v>
      </c>
      <c r="B56" s="14" t="s">
        <v>11</v>
      </c>
      <c r="C56" s="73" t="s">
        <v>14</v>
      </c>
      <c r="D56" s="75">
        <v>72</v>
      </c>
      <c r="E56" s="25">
        <v>336</v>
      </c>
      <c r="F56" s="25">
        <v>70</v>
      </c>
      <c r="G56" s="22">
        <f t="shared" si="0"/>
        <v>4.666666666666667</v>
      </c>
      <c r="H56" s="23">
        <v>36</v>
      </c>
      <c r="I56" s="24">
        <v>28</v>
      </c>
      <c r="J56" s="55">
        <v>74</v>
      </c>
      <c r="K56" s="53">
        <v>3.5</v>
      </c>
      <c r="L56" s="51">
        <v>0.36</v>
      </c>
      <c r="M56" s="51">
        <v>3.8</v>
      </c>
      <c r="N56" s="16">
        <v>3.72</v>
      </c>
      <c r="O56" s="4">
        <v>0.35</v>
      </c>
      <c r="P56" s="5">
        <v>3.8</v>
      </c>
      <c r="Q56" s="5">
        <v>3.94</v>
      </c>
      <c r="R56" s="5">
        <v>4</v>
      </c>
      <c r="S56" s="55">
        <v>74</v>
      </c>
      <c r="T56" s="53">
        <v>3.25</v>
      </c>
      <c r="U56" s="51">
        <v>0.32</v>
      </c>
      <c r="V56" s="51">
        <v>3.54</v>
      </c>
      <c r="W56" s="45">
        <v>1</v>
      </c>
      <c r="X56" s="11">
        <v>3.46</v>
      </c>
      <c r="Y56" s="4">
        <v>0.31</v>
      </c>
      <c r="Z56" s="5">
        <v>3.54</v>
      </c>
      <c r="AA56" s="5">
        <v>3.67</v>
      </c>
      <c r="AB56" s="9">
        <v>3.71</v>
      </c>
      <c r="AC56" s="57">
        <v>991.14</v>
      </c>
      <c r="AD56" s="57">
        <v>1.1499999999999999</v>
      </c>
      <c r="AE56" s="57">
        <v>990.86</v>
      </c>
      <c r="AF56" s="57">
        <v>990.32</v>
      </c>
      <c r="AG56" s="57">
        <v>990.17</v>
      </c>
      <c r="AH56" s="59">
        <v>1000</v>
      </c>
      <c r="AI56" s="11">
        <v>991.14</v>
      </c>
      <c r="AJ56" s="43">
        <v>1.1499999999999999</v>
      </c>
    </row>
    <row r="57" spans="1:36" x14ac:dyDescent="0.3">
      <c r="A57" s="37" t="s">
        <v>110</v>
      </c>
      <c r="B57" s="14" t="s">
        <v>13</v>
      </c>
      <c r="C57" s="73" t="s">
        <v>18</v>
      </c>
      <c r="D57" s="75">
        <v>31</v>
      </c>
      <c r="E57" s="25">
        <v>229</v>
      </c>
      <c r="F57" s="25">
        <v>31</v>
      </c>
      <c r="G57" s="22">
        <f t="shared" si="0"/>
        <v>7.387096774193548</v>
      </c>
      <c r="H57" s="23">
        <v>17</v>
      </c>
      <c r="I57" s="24">
        <v>16</v>
      </c>
      <c r="J57" s="55">
        <v>33</v>
      </c>
      <c r="K57" s="53">
        <v>3.55</v>
      </c>
      <c r="L57" s="51">
        <v>0.49</v>
      </c>
      <c r="M57" s="51">
        <v>3.93</v>
      </c>
      <c r="N57" s="16">
        <v>3.9</v>
      </c>
      <c r="O57" s="4">
        <v>0.23</v>
      </c>
      <c r="P57" s="5">
        <v>3.95</v>
      </c>
      <c r="Q57" s="5">
        <v>4.03</v>
      </c>
      <c r="R57" s="5">
        <v>4.07</v>
      </c>
      <c r="S57" s="55">
        <v>33</v>
      </c>
      <c r="T57" s="53">
        <v>3.31</v>
      </c>
      <c r="U57" s="51">
        <v>0.44</v>
      </c>
      <c r="V57" s="51">
        <v>3.66</v>
      </c>
      <c r="W57" s="45">
        <v>1</v>
      </c>
      <c r="X57" s="11">
        <v>3.63</v>
      </c>
      <c r="Y57" s="4">
        <v>0.21</v>
      </c>
      <c r="Z57" s="5">
        <v>3.68</v>
      </c>
      <c r="AA57" s="5">
        <v>3.76</v>
      </c>
      <c r="AB57" s="9">
        <v>3.79</v>
      </c>
      <c r="AC57" s="57">
        <v>990.48</v>
      </c>
      <c r="AD57" s="57">
        <v>0.8</v>
      </c>
      <c r="AE57" s="57">
        <v>990.19</v>
      </c>
      <c r="AF57" s="57">
        <v>990.07</v>
      </c>
      <c r="AG57" s="57">
        <v>989.91</v>
      </c>
      <c r="AH57" s="59">
        <v>1000</v>
      </c>
      <c r="AI57" s="11">
        <v>990.48</v>
      </c>
      <c r="AJ57" s="43">
        <v>0.8</v>
      </c>
    </row>
    <row r="58" spans="1:36" x14ac:dyDescent="0.3">
      <c r="A58" s="37" t="s">
        <v>110</v>
      </c>
      <c r="B58" s="14" t="s">
        <v>13</v>
      </c>
      <c r="C58" s="73" t="s">
        <v>22</v>
      </c>
      <c r="D58" s="75">
        <v>3</v>
      </c>
      <c r="E58" s="25">
        <v>29</v>
      </c>
      <c r="F58" s="25">
        <v>3</v>
      </c>
      <c r="G58" s="22">
        <f t="shared" si="0"/>
        <v>9.6666666666666661</v>
      </c>
      <c r="H58" s="23">
        <v>1</v>
      </c>
      <c r="I58" s="24">
        <v>1</v>
      </c>
      <c r="J58" s="55">
        <v>3</v>
      </c>
      <c r="K58" s="53">
        <v>3.96</v>
      </c>
      <c r="L58" s="51">
        <v>7.0000000000000007E-2</v>
      </c>
      <c r="M58" s="51" t="s">
        <v>127</v>
      </c>
      <c r="N58" s="16">
        <v>4</v>
      </c>
      <c r="O58" s="4">
        <v>0.13</v>
      </c>
      <c r="P58" s="5" t="s">
        <v>127</v>
      </c>
      <c r="Q58" s="5" t="s">
        <v>126</v>
      </c>
      <c r="R58" s="5" t="s">
        <v>126</v>
      </c>
      <c r="S58" s="55">
        <v>3</v>
      </c>
      <c r="T58" s="53">
        <v>3.66</v>
      </c>
      <c r="U58" s="51">
        <v>7.0000000000000007E-2</v>
      </c>
      <c r="V58" s="51" t="s">
        <v>127</v>
      </c>
      <c r="W58" s="45">
        <v>1</v>
      </c>
      <c r="X58" s="11">
        <v>3.7</v>
      </c>
      <c r="Y58" s="4">
        <v>0.12</v>
      </c>
      <c r="Z58" s="5" t="s">
        <v>126</v>
      </c>
      <c r="AA58" s="5" t="s">
        <v>126</v>
      </c>
      <c r="AB58" s="9" t="s">
        <v>126</v>
      </c>
      <c r="AC58" s="57">
        <v>990.12</v>
      </c>
      <c r="AD58" s="57">
        <v>0.49</v>
      </c>
      <c r="AE58" s="57" t="s">
        <v>126</v>
      </c>
      <c r="AF58" s="57" t="s">
        <v>126</v>
      </c>
      <c r="AG58" s="57" t="s">
        <v>126</v>
      </c>
      <c r="AH58" s="59">
        <v>1000</v>
      </c>
      <c r="AI58" s="11">
        <v>990.12</v>
      </c>
      <c r="AJ58" s="43">
        <v>0.49</v>
      </c>
    </row>
    <row r="59" spans="1:36" x14ac:dyDescent="0.3">
      <c r="A59" s="37" t="s">
        <v>110</v>
      </c>
      <c r="B59" s="14" t="s">
        <v>15</v>
      </c>
      <c r="C59" s="73" t="s">
        <v>24</v>
      </c>
      <c r="D59" s="75">
        <v>3</v>
      </c>
      <c r="E59" s="25">
        <v>37</v>
      </c>
      <c r="F59" s="25">
        <v>3</v>
      </c>
      <c r="G59" s="22">
        <f t="shared" si="0"/>
        <v>12.333333333333334</v>
      </c>
      <c r="H59" s="23">
        <v>7</v>
      </c>
      <c r="I59" s="24">
        <v>3</v>
      </c>
      <c r="J59" s="55">
        <v>3</v>
      </c>
      <c r="K59" s="53">
        <v>2.83</v>
      </c>
      <c r="L59" s="51">
        <v>0.4</v>
      </c>
      <c r="M59" s="51" t="s">
        <v>127</v>
      </c>
      <c r="N59" s="16">
        <v>3.4</v>
      </c>
      <c r="O59" s="4">
        <v>0.08</v>
      </c>
      <c r="P59" s="5" t="s">
        <v>127</v>
      </c>
      <c r="Q59" s="5" t="s">
        <v>126</v>
      </c>
      <c r="R59" s="5" t="s">
        <v>126</v>
      </c>
      <c r="S59" s="55">
        <v>3</v>
      </c>
      <c r="T59" s="53">
        <v>2.65</v>
      </c>
      <c r="U59" s="51">
        <v>0.36</v>
      </c>
      <c r="V59" s="51" t="s">
        <v>127</v>
      </c>
      <c r="W59" s="45">
        <v>1</v>
      </c>
      <c r="X59" s="11">
        <v>3.16</v>
      </c>
      <c r="Y59" s="4">
        <v>7.0000000000000007E-2</v>
      </c>
      <c r="Z59" s="5" t="s">
        <v>126</v>
      </c>
      <c r="AA59" s="5" t="s">
        <v>126</v>
      </c>
      <c r="AB59" s="9" t="s">
        <v>126</v>
      </c>
      <c r="AC59" s="57">
        <v>992.22</v>
      </c>
      <c r="AD59" s="57">
        <v>0.19</v>
      </c>
      <c r="AE59" s="57" t="s">
        <v>126</v>
      </c>
      <c r="AF59" s="57" t="s">
        <v>126</v>
      </c>
      <c r="AG59" s="57" t="s">
        <v>126</v>
      </c>
      <c r="AH59" s="59">
        <v>1000</v>
      </c>
      <c r="AI59" s="11">
        <v>992.22</v>
      </c>
      <c r="AJ59" s="43">
        <v>0.19</v>
      </c>
    </row>
    <row r="60" spans="1:36" x14ac:dyDescent="0.3">
      <c r="A60" s="37" t="s">
        <v>110</v>
      </c>
      <c r="B60" s="14" t="s">
        <v>15</v>
      </c>
      <c r="C60" s="73" t="s">
        <v>26</v>
      </c>
      <c r="D60" s="75">
        <v>4</v>
      </c>
      <c r="E60" s="25">
        <v>39</v>
      </c>
      <c r="F60" s="25">
        <v>4</v>
      </c>
      <c r="G60" s="22">
        <f t="shared" si="0"/>
        <v>9.75</v>
      </c>
      <c r="H60" s="23">
        <v>11</v>
      </c>
      <c r="I60" s="24">
        <v>3</v>
      </c>
      <c r="J60" s="55">
        <v>4</v>
      </c>
      <c r="K60" s="53">
        <v>2.13</v>
      </c>
      <c r="L60" s="51">
        <v>0.27</v>
      </c>
      <c r="M60" s="51">
        <v>2.37</v>
      </c>
      <c r="N60" s="16">
        <v>2.61</v>
      </c>
      <c r="O60" s="4">
        <v>0.48</v>
      </c>
      <c r="P60" s="5">
        <v>2.7</v>
      </c>
      <c r="Q60" s="5">
        <v>2.7</v>
      </c>
      <c r="R60" s="5">
        <v>2.83</v>
      </c>
      <c r="S60" s="55">
        <v>4</v>
      </c>
      <c r="T60" s="53">
        <v>2.02</v>
      </c>
      <c r="U60" s="51">
        <v>0.24</v>
      </c>
      <c r="V60" s="51">
        <v>2.23</v>
      </c>
      <c r="W60" s="45">
        <v>1</v>
      </c>
      <c r="X60" s="11">
        <v>2.4500000000000002</v>
      </c>
      <c r="Y60" s="4">
        <v>0.43</v>
      </c>
      <c r="Z60" s="5">
        <v>2.5299999999999998</v>
      </c>
      <c r="AA60" s="5">
        <v>2.5299999999999998</v>
      </c>
      <c r="AB60" s="9">
        <v>2.65</v>
      </c>
      <c r="AC60" s="57">
        <v>994.84</v>
      </c>
      <c r="AD60" s="57">
        <v>1.53</v>
      </c>
      <c r="AE60" s="57">
        <v>994.54</v>
      </c>
      <c r="AF60" s="57">
        <v>994.54</v>
      </c>
      <c r="AG60" s="57">
        <v>994.11</v>
      </c>
      <c r="AH60" s="59">
        <v>1000</v>
      </c>
      <c r="AI60" s="11">
        <v>994.84</v>
      </c>
      <c r="AJ60" s="43">
        <v>1.53</v>
      </c>
    </row>
    <row r="61" spans="1:36" x14ac:dyDescent="0.3">
      <c r="A61" s="37" t="s">
        <v>110</v>
      </c>
      <c r="B61" s="14" t="s">
        <v>15</v>
      </c>
      <c r="C61" s="73" t="s">
        <v>29</v>
      </c>
      <c r="D61" s="75">
        <v>2</v>
      </c>
      <c r="E61" s="25">
        <v>18</v>
      </c>
      <c r="F61" s="25">
        <v>2</v>
      </c>
      <c r="G61" s="22">
        <f t="shared" si="0"/>
        <v>9</v>
      </c>
      <c r="H61" s="23" t="s">
        <v>134</v>
      </c>
      <c r="I61" s="24" t="s">
        <v>134</v>
      </c>
      <c r="J61" s="55">
        <v>2</v>
      </c>
      <c r="K61" s="53">
        <v>3.56</v>
      </c>
      <c r="L61" s="51" t="s">
        <v>125</v>
      </c>
      <c r="M61" s="51" t="s">
        <v>124</v>
      </c>
      <c r="N61" s="16">
        <v>3.56</v>
      </c>
      <c r="O61" s="4" t="s">
        <v>125</v>
      </c>
      <c r="P61" s="5" t="s">
        <v>124</v>
      </c>
      <c r="Q61" s="5" t="s">
        <v>124</v>
      </c>
      <c r="R61" s="5" t="s">
        <v>125</v>
      </c>
      <c r="S61" s="55">
        <v>2</v>
      </c>
      <c r="T61" s="53">
        <v>3.3</v>
      </c>
      <c r="U61" s="51" t="s">
        <v>124</v>
      </c>
      <c r="V61" s="51" t="s">
        <v>124</v>
      </c>
      <c r="W61" s="45">
        <v>1</v>
      </c>
      <c r="X61" s="11">
        <v>3.3</v>
      </c>
      <c r="Y61" s="4" t="s">
        <v>124</v>
      </c>
      <c r="Z61" s="5" t="s">
        <v>124</v>
      </c>
      <c r="AA61" s="5" t="s">
        <v>124</v>
      </c>
      <c r="AB61" s="9" t="s">
        <v>124</v>
      </c>
      <c r="AC61" s="57">
        <v>991.54</v>
      </c>
      <c r="AD61" s="57" t="s">
        <v>124</v>
      </c>
      <c r="AE61" s="57" t="s">
        <v>124</v>
      </c>
      <c r="AF61" s="57" t="s">
        <v>124</v>
      </c>
      <c r="AG61" s="57" t="s">
        <v>124</v>
      </c>
      <c r="AH61" s="59">
        <v>1000</v>
      </c>
      <c r="AI61" s="11">
        <v>991.54</v>
      </c>
      <c r="AJ61" s="43" t="s">
        <v>124</v>
      </c>
    </row>
    <row r="62" spans="1:36" x14ac:dyDescent="0.3">
      <c r="A62" s="37" t="s">
        <v>110</v>
      </c>
      <c r="B62" s="14" t="s">
        <v>15</v>
      </c>
      <c r="C62" s="73" t="s">
        <v>31</v>
      </c>
      <c r="D62" s="75">
        <v>4</v>
      </c>
      <c r="E62" s="25">
        <v>47</v>
      </c>
      <c r="F62" s="25">
        <v>4</v>
      </c>
      <c r="G62" s="22">
        <f t="shared" si="0"/>
        <v>11.75</v>
      </c>
      <c r="H62" s="23">
        <v>11</v>
      </c>
      <c r="I62" s="24">
        <v>4</v>
      </c>
      <c r="J62" s="55">
        <v>4</v>
      </c>
      <c r="K62" s="53">
        <v>2.48</v>
      </c>
      <c r="L62" s="51">
        <v>0.2</v>
      </c>
      <c r="M62" s="51">
        <v>2.61</v>
      </c>
      <c r="N62" s="16">
        <v>3.27</v>
      </c>
      <c r="O62" s="4">
        <v>0.18</v>
      </c>
      <c r="P62" s="5">
        <v>3.12</v>
      </c>
      <c r="Q62" s="5">
        <v>3.12</v>
      </c>
      <c r="R62" s="5">
        <v>3.44</v>
      </c>
      <c r="S62" s="55">
        <v>4</v>
      </c>
      <c r="T62" s="53">
        <v>2.33</v>
      </c>
      <c r="U62" s="51">
        <v>0.18</v>
      </c>
      <c r="V62" s="51">
        <v>2.4500000000000002</v>
      </c>
      <c r="W62" s="45">
        <v>1</v>
      </c>
      <c r="X62" s="11">
        <v>3.04</v>
      </c>
      <c r="Y62" s="4">
        <v>0.16</v>
      </c>
      <c r="Z62" s="5">
        <v>2.91</v>
      </c>
      <c r="AA62" s="5">
        <v>2.91</v>
      </c>
      <c r="AB62" s="9">
        <v>3.19</v>
      </c>
      <c r="AC62" s="57">
        <v>992.72</v>
      </c>
      <c r="AD62" s="57">
        <v>0.57999999999999996</v>
      </c>
      <c r="AE62" s="57">
        <v>993.18</v>
      </c>
      <c r="AF62" s="57">
        <v>993.18</v>
      </c>
      <c r="AG62" s="57">
        <v>992.17</v>
      </c>
      <c r="AH62" s="59">
        <v>1000</v>
      </c>
      <c r="AI62" s="11">
        <v>992.72</v>
      </c>
      <c r="AJ62" s="43">
        <v>0.57999999999999996</v>
      </c>
    </row>
    <row r="63" spans="1:36" x14ac:dyDescent="0.3">
      <c r="A63" s="37" t="s">
        <v>110</v>
      </c>
      <c r="B63" s="14" t="s">
        <v>15</v>
      </c>
      <c r="C63" s="73" t="s">
        <v>33</v>
      </c>
      <c r="D63" s="75">
        <v>4</v>
      </c>
      <c r="E63" s="25">
        <v>41</v>
      </c>
      <c r="F63" s="25">
        <v>4</v>
      </c>
      <c r="G63" s="22">
        <f t="shared" si="0"/>
        <v>10.25</v>
      </c>
      <c r="H63" s="23">
        <v>7</v>
      </c>
      <c r="I63" s="24">
        <v>2</v>
      </c>
      <c r="J63" s="55">
        <v>4</v>
      </c>
      <c r="K63" s="53">
        <v>2.46</v>
      </c>
      <c r="L63" s="51">
        <v>0.53</v>
      </c>
      <c r="M63" s="51">
        <v>2.81</v>
      </c>
      <c r="N63" s="16">
        <v>2.59</v>
      </c>
      <c r="O63" s="4">
        <v>0.61</v>
      </c>
      <c r="P63" s="5">
        <v>2.81</v>
      </c>
      <c r="Q63" s="5">
        <v>2.81</v>
      </c>
      <c r="R63" s="5">
        <v>2.93</v>
      </c>
      <c r="S63" s="55">
        <v>4</v>
      </c>
      <c r="T63" s="53">
        <v>2.33</v>
      </c>
      <c r="U63" s="51">
        <v>0.45</v>
      </c>
      <c r="V63" s="51">
        <v>2.63</v>
      </c>
      <c r="W63" s="45">
        <v>0.75</v>
      </c>
      <c r="X63" s="11">
        <v>2.4500000000000002</v>
      </c>
      <c r="Y63" s="4">
        <v>0.53</v>
      </c>
      <c r="Z63" s="5">
        <v>2.63</v>
      </c>
      <c r="AA63" s="5">
        <v>2.63</v>
      </c>
      <c r="AB63" s="9">
        <v>2.74</v>
      </c>
      <c r="AC63" s="57">
        <v>994.83</v>
      </c>
      <c r="AD63" s="57">
        <v>1.88</v>
      </c>
      <c r="AE63" s="57">
        <v>994.18</v>
      </c>
      <c r="AF63" s="57">
        <v>994.18</v>
      </c>
      <c r="AG63" s="57">
        <v>993.78</v>
      </c>
      <c r="AH63" s="59">
        <v>1000</v>
      </c>
      <c r="AI63" s="11">
        <v>994.83</v>
      </c>
      <c r="AJ63" s="43">
        <v>1.88</v>
      </c>
    </row>
    <row r="64" spans="1:36" x14ac:dyDescent="0.3">
      <c r="A64" s="37" t="s">
        <v>110</v>
      </c>
      <c r="B64" s="14" t="s">
        <v>15</v>
      </c>
      <c r="C64" s="73" t="s">
        <v>36</v>
      </c>
      <c r="D64" s="75">
        <v>5</v>
      </c>
      <c r="E64" s="25">
        <v>26</v>
      </c>
      <c r="F64" s="25">
        <v>5</v>
      </c>
      <c r="G64" s="22">
        <f t="shared" si="0"/>
        <v>5.2</v>
      </c>
      <c r="H64" s="23">
        <v>7</v>
      </c>
      <c r="I64" s="24">
        <v>3</v>
      </c>
      <c r="J64" s="55">
        <v>5</v>
      </c>
      <c r="K64" s="53">
        <v>2.75</v>
      </c>
      <c r="L64" s="51">
        <v>0.36</v>
      </c>
      <c r="M64" s="51">
        <v>2.92</v>
      </c>
      <c r="N64" s="16">
        <v>3.18</v>
      </c>
      <c r="O64" s="4">
        <v>0.25</v>
      </c>
      <c r="P64" s="5">
        <v>2.92</v>
      </c>
      <c r="Q64" s="5">
        <v>3.31</v>
      </c>
      <c r="R64" s="5">
        <v>3.37</v>
      </c>
      <c r="S64" s="55">
        <v>5</v>
      </c>
      <c r="T64" s="53">
        <v>2.59</v>
      </c>
      <c r="U64" s="51">
        <v>0.33</v>
      </c>
      <c r="V64" s="51">
        <v>2.72</v>
      </c>
      <c r="W64" s="45">
        <v>1</v>
      </c>
      <c r="X64" s="11">
        <v>2.98</v>
      </c>
      <c r="Y64" s="4">
        <v>0.21</v>
      </c>
      <c r="Z64" s="5">
        <v>2.72</v>
      </c>
      <c r="AA64" s="5">
        <v>3.08</v>
      </c>
      <c r="AB64" s="9">
        <v>3.14</v>
      </c>
      <c r="AC64" s="57">
        <v>992.94</v>
      </c>
      <c r="AD64" s="57">
        <v>0.75</v>
      </c>
      <c r="AE64" s="57">
        <v>993.84</v>
      </c>
      <c r="AF64" s="57">
        <v>992.58</v>
      </c>
      <c r="AG64" s="57">
        <v>992.37</v>
      </c>
      <c r="AH64" s="59">
        <v>1000</v>
      </c>
      <c r="AI64" s="11">
        <v>992.94</v>
      </c>
      <c r="AJ64" s="43">
        <v>0.75</v>
      </c>
    </row>
    <row r="65" spans="1:36" x14ac:dyDescent="0.3">
      <c r="A65" s="37" t="s">
        <v>110</v>
      </c>
      <c r="B65" s="14" t="s">
        <v>15</v>
      </c>
      <c r="C65" s="73" t="s">
        <v>38</v>
      </c>
      <c r="D65" s="75">
        <v>4</v>
      </c>
      <c r="E65" s="25">
        <v>27</v>
      </c>
      <c r="F65" s="25">
        <v>3</v>
      </c>
      <c r="G65" s="22">
        <f t="shared" si="0"/>
        <v>6.75</v>
      </c>
      <c r="H65" s="23">
        <v>3</v>
      </c>
      <c r="I65" s="24">
        <v>1</v>
      </c>
      <c r="J65" s="55">
        <v>4</v>
      </c>
      <c r="K65" s="53">
        <v>2.44</v>
      </c>
      <c r="L65" s="51">
        <v>0.18</v>
      </c>
      <c r="M65" s="51">
        <v>2.56</v>
      </c>
      <c r="N65" s="16">
        <v>2.61</v>
      </c>
      <c r="O65" s="4">
        <v>0.2</v>
      </c>
      <c r="P65" s="5" t="s">
        <v>127</v>
      </c>
      <c r="Q65" s="5" t="s">
        <v>126</v>
      </c>
      <c r="R65" s="5" t="s">
        <v>126</v>
      </c>
      <c r="S65" s="55">
        <v>4</v>
      </c>
      <c r="T65" s="53">
        <v>2.2999999999999998</v>
      </c>
      <c r="U65" s="51">
        <v>0.16</v>
      </c>
      <c r="V65" s="51">
        <v>2.4</v>
      </c>
      <c r="W65" s="45">
        <v>1</v>
      </c>
      <c r="X65" s="11">
        <v>2.4500000000000002</v>
      </c>
      <c r="Y65" s="4">
        <v>0.18</v>
      </c>
      <c r="Z65" s="5" t="s">
        <v>126</v>
      </c>
      <c r="AA65" s="5" t="s">
        <v>126</v>
      </c>
      <c r="AB65" s="9" t="s">
        <v>126</v>
      </c>
      <c r="AC65" s="57">
        <v>994.83</v>
      </c>
      <c r="AD65" s="57">
        <v>0.64</v>
      </c>
      <c r="AE65" s="57" t="s">
        <v>126</v>
      </c>
      <c r="AF65" s="57" t="s">
        <v>126</v>
      </c>
      <c r="AG65" s="57" t="s">
        <v>126</v>
      </c>
      <c r="AH65" s="59">
        <v>1000</v>
      </c>
      <c r="AI65" s="11">
        <v>994.83</v>
      </c>
      <c r="AJ65" s="43">
        <v>0.64</v>
      </c>
    </row>
    <row r="66" spans="1:36" x14ac:dyDescent="0.3">
      <c r="A66" s="37" t="s">
        <v>110</v>
      </c>
      <c r="B66" s="14" t="s">
        <v>16</v>
      </c>
      <c r="C66" s="73" t="s">
        <v>41</v>
      </c>
      <c r="D66" s="75">
        <v>41</v>
      </c>
      <c r="E66" s="25">
        <v>207</v>
      </c>
      <c r="F66" s="25">
        <v>40</v>
      </c>
      <c r="G66" s="22">
        <f t="shared" si="0"/>
        <v>5.0487804878048781</v>
      </c>
      <c r="H66" s="23">
        <v>69</v>
      </c>
      <c r="I66" s="24">
        <v>28</v>
      </c>
      <c r="J66" s="55">
        <v>42</v>
      </c>
      <c r="K66" s="53">
        <v>2.95</v>
      </c>
      <c r="L66" s="51">
        <v>0.24</v>
      </c>
      <c r="M66" s="51">
        <v>3.18</v>
      </c>
      <c r="N66" s="16">
        <v>3.38</v>
      </c>
      <c r="O66" s="4">
        <v>0.28000000000000003</v>
      </c>
      <c r="P66" s="5">
        <v>3.38</v>
      </c>
      <c r="Q66" s="5">
        <v>3.57</v>
      </c>
      <c r="R66" s="5">
        <v>3.64</v>
      </c>
      <c r="S66" s="55">
        <v>42</v>
      </c>
      <c r="T66" s="53">
        <v>2.76</v>
      </c>
      <c r="U66" s="51">
        <v>0.22</v>
      </c>
      <c r="V66" s="51">
        <v>2.96</v>
      </c>
      <c r="W66" s="45">
        <v>0.97499999999999998</v>
      </c>
      <c r="X66" s="11">
        <v>3.15</v>
      </c>
      <c r="Y66" s="4">
        <v>0.25</v>
      </c>
      <c r="Z66" s="5">
        <v>3.15</v>
      </c>
      <c r="AA66" s="5">
        <v>3.32</v>
      </c>
      <c r="AB66" s="9">
        <v>3.4</v>
      </c>
      <c r="AC66" s="57">
        <v>992.29</v>
      </c>
      <c r="AD66" s="57">
        <v>0.92</v>
      </c>
      <c r="AE66" s="57">
        <v>992.31</v>
      </c>
      <c r="AF66" s="57">
        <v>991.73</v>
      </c>
      <c r="AG66" s="57">
        <v>991.43</v>
      </c>
      <c r="AH66" s="59">
        <v>1000</v>
      </c>
      <c r="AI66" s="11">
        <v>992.29</v>
      </c>
      <c r="AJ66" s="43">
        <v>0.92</v>
      </c>
    </row>
    <row r="67" spans="1:36" x14ac:dyDescent="0.3">
      <c r="A67" s="37" t="s">
        <v>110</v>
      </c>
      <c r="B67" s="14" t="s">
        <v>19</v>
      </c>
      <c r="C67" s="73" t="s">
        <v>43</v>
      </c>
      <c r="D67" s="75">
        <v>10</v>
      </c>
      <c r="E67" s="25">
        <v>60</v>
      </c>
      <c r="F67" s="25">
        <v>10</v>
      </c>
      <c r="G67" s="22">
        <f t="shared" si="0"/>
        <v>6</v>
      </c>
      <c r="H67" s="23">
        <v>17</v>
      </c>
      <c r="I67" s="24">
        <v>10</v>
      </c>
      <c r="J67" s="55">
        <v>10</v>
      </c>
      <c r="K67" s="53">
        <v>3.28</v>
      </c>
      <c r="L67" s="51">
        <v>0.4</v>
      </c>
      <c r="M67" s="51">
        <v>3.62</v>
      </c>
      <c r="N67" s="16">
        <v>4.25</v>
      </c>
      <c r="O67" s="4">
        <v>0.31</v>
      </c>
      <c r="P67" s="5">
        <v>4.2699999999999996</v>
      </c>
      <c r="Q67" s="5">
        <v>4.3899999999999997</v>
      </c>
      <c r="R67" s="5">
        <v>4.4800000000000004</v>
      </c>
      <c r="S67" s="55">
        <v>10</v>
      </c>
      <c r="T67" s="53">
        <v>3.06</v>
      </c>
      <c r="U67" s="51">
        <v>0.33</v>
      </c>
      <c r="V67" s="51">
        <v>3.35</v>
      </c>
      <c r="W67" s="45">
        <v>1</v>
      </c>
      <c r="X67" s="11">
        <v>3.93</v>
      </c>
      <c r="Y67" s="4">
        <v>0.28000000000000003</v>
      </c>
      <c r="Z67" s="5">
        <v>3.94</v>
      </c>
      <c r="AA67" s="5">
        <v>4.05</v>
      </c>
      <c r="AB67" s="9">
        <v>4.1399999999999997</v>
      </c>
      <c r="AC67" s="57">
        <v>989.41</v>
      </c>
      <c r="AD67" s="57">
        <v>1.04</v>
      </c>
      <c r="AE67" s="57">
        <v>989.43</v>
      </c>
      <c r="AF67" s="57">
        <v>988.92</v>
      </c>
      <c r="AG67" s="57">
        <v>988.8</v>
      </c>
      <c r="AH67" s="59">
        <v>1000</v>
      </c>
      <c r="AI67" s="11">
        <v>989.41</v>
      </c>
      <c r="AJ67" s="43">
        <v>1.04</v>
      </c>
    </row>
    <row r="68" spans="1:36" x14ac:dyDescent="0.3">
      <c r="A68" s="37" t="s">
        <v>110</v>
      </c>
      <c r="B68" s="14" t="s">
        <v>20</v>
      </c>
      <c r="C68" s="73" t="s">
        <v>44</v>
      </c>
      <c r="D68" s="75">
        <v>5</v>
      </c>
      <c r="E68" s="25">
        <v>77</v>
      </c>
      <c r="F68" s="25">
        <v>4</v>
      </c>
      <c r="G68" s="22">
        <f t="shared" si="0"/>
        <v>15.4</v>
      </c>
      <c r="H68" s="23">
        <v>20</v>
      </c>
      <c r="I68" s="24">
        <v>4</v>
      </c>
      <c r="J68" s="55">
        <v>5</v>
      </c>
      <c r="K68" s="53">
        <v>1.1399999999999999</v>
      </c>
      <c r="L68" s="51">
        <v>0.03</v>
      </c>
      <c r="M68" s="51">
        <v>1.1299999999999999</v>
      </c>
      <c r="N68" s="16">
        <v>1.32</v>
      </c>
      <c r="O68" s="4">
        <v>0.08</v>
      </c>
      <c r="P68" s="5">
        <v>1.26</v>
      </c>
      <c r="Q68" s="5">
        <v>1.26</v>
      </c>
      <c r="R68" s="5">
        <v>1.33</v>
      </c>
      <c r="S68" s="55">
        <v>5</v>
      </c>
      <c r="T68" s="53">
        <v>1.1200000000000001</v>
      </c>
      <c r="U68" s="51">
        <v>0.02</v>
      </c>
      <c r="V68" s="51">
        <v>1.1200000000000001</v>
      </c>
      <c r="W68" s="45">
        <v>1</v>
      </c>
      <c r="X68" s="11">
        <v>1.29</v>
      </c>
      <c r="Y68" s="4">
        <v>7.0000000000000007E-2</v>
      </c>
      <c r="Z68" s="5">
        <v>1.23</v>
      </c>
      <c r="AA68" s="5">
        <v>1.23</v>
      </c>
      <c r="AB68" s="9">
        <v>1.3</v>
      </c>
      <c r="AC68" s="57">
        <v>998.98</v>
      </c>
      <c r="AD68" s="57">
        <v>0.25</v>
      </c>
      <c r="AE68" s="57">
        <v>999.16</v>
      </c>
      <c r="AF68" s="57">
        <v>999.16</v>
      </c>
      <c r="AG68" s="57">
        <v>998.94</v>
      </c>
      <c r="AH68" s="59">
        <v>1000</v>
      </c>
      <c r="AI68" s="11">
        <v>998.98</v>
      </c>
      <c r="AJ68" s="43">
        <v>0.25</v>
      </c>
    </row>
    <row r="69" spans="1:36" x14ac:dyDescent="0.3">
      <c r="A69" s="37" t="s">
        <v>110</v>
      </c>
      <c r="B69" s="14" t="s">
        <v>21</v>
      </c>
      <c r="C69" s="73" t="s">
        <v>45</v>
      </c>
      <c r="D69" s="75">
        <v>7</v>
      </c>
      <c r="E69" s="25">
        <v>84</v>
      </c>
      <c r="F69" s="25">
        <v>7</v>
      </c>
      <c r="G69" s="22">
        <f t="shared" si="0"/>
        <v>12</v>
      </c>
      <c r="H69" s="23">
        <v>31</v>
      </c>
      <c r="I69" s="24">
        <v>5</v>
      </c>
      <c r="J69" s="55">
        <v>7</v>
      </c>
      <c r="K69" s="53">
        <v>1.05</v>
      </c>
      <c r="L69" s="51">
        <v>0.03</v>
      </c>
      <c r="M69" s="51">
        <v>1.06</v>
      </c>
      <c r="N69" s="16">
        <v>1.19</v>
      </c>
      <c r="O69" s="4">
        <v>0.14000000000000001</v>
      </c>
      <c r="P69" s="5">
        <v>1.0900000000000001</v>
      </c>
      <c r="Q69" s="5">
        <v>1.2</v>
      </c>
      <c r="R69" s="5">
        <v>1.27</v>
      </c>
      <c r="S69" s="55">
        <v>7</v>
      </c>
      <c r="T69" s="53">
        <v>1.04</v>
      </c>
      <c r="U69" s="51">
        <v>0.02</v>
      </c>
      <c r="V69" s="51">
        <v>1.06</v>
      </c>
      <c r="W69" s="45">
        <v>0.7142857142857143</v>
      </c>
      <c r="X69" s="11">
        <v>1.18</v>
      </c>
      <c r="Y69" s="4">
        <v>0.12</v>
      </c>
      <c r="Z69" s="5">
        <v>1.0900000000000001</v>
      </c>
      <c r="AA69" s="5">
        <v>1.18</v>
      </c>
      <c r="AB69" s="9">
        <v>1.24</v>
      </c>
      <c r="AC69" s="57">
        <v>999.37</v>
      </c>
      <c r="AD69" s="57">
        <v>0.44</v>
      </c>
      <c r="AE69" s="57">
        <v>999.69</v>
      </c>
      <c r="AF69" s="57">
        <v>999.34</v>
      </c>
      <c r="AG69" s="57">
        <v>999.13</v>
      </c>
      <c r="AH69" s="59">
        <v>1000</v>
      </c>
      <c r="AI69" s="11">
        <v>999.37</v>
      </c>
      <c r="AJ69" s="43">
        <v>0.44</v>
      </c>
    </row>
    <row r="70" spans="1:36" x14ac:dyDescent="0.3">
      <c r="A70" s="37" t="s">
        <v>110</v>
      </c>
      <c r="B70" s="14" t="s">
        <v>25</v>
      </c>
      <c r="C70" s="73" t="s">
        <v>64</v>
      </c>
      <c r="D70" s="75">
        <v>14</v>
      </c>
      <c r="E70" s="25">
        <v>143</v>
      </c>
      <c r="F70" s="25">
        <v>13</v>
      </c>
      <c r="G70" s="22">
        <f t="shared" si="0"/>
        <v>10.214285714285714</v>
      </c>
      <c r="H70" s="23">
        <v>5</v>
      </c>
      <c r="I70" s="24">
        <v>4</v>
      </c>
      <c r="J70" s="55">
        <v>14</v>
      </c>
      <c r="K70" s="53">
        <v>1.23</v>
      </c>
      <c r="L70" s="51">
        <v>0.06</v>
      </c>
      <c r="M70" s="51">
        <v>1.27</v>
      </c>
      <c r="N70" s="16">
        <v>1.26</v>
      </c>
      <c r="O70" s="4">
        <v>0.08</v>
      </c>
      <c r="P70" s="5">
        <v>1.25</v>
      </c>
      <c r="Q70" s="5">
        <v>1.3</v>
      </c>
      <c r="R70" s="5">
        <v>1.33</v>
      </c>
      <c r="S70" s="55">
        <v>14</v>
      </c>
      <c r="T70" s="53">
        <v>1.21</v>
      </c>
      <c r="U70" s="51">
        <v>0.05</v>
      </c>
      <c r="V70" s="51">
        <v>1.24</v>
      </c>
      <c r="W70" s="45">
        <v>1</v>
      </c>
      <c r="X70" s="11">
        <v>1.24</v>
      </c>
      <c r="Y70" s="4">
        <v>7.0000000000000007E-2</v>
      </c>
      <c r="Z70" s="5">
        <v>1.23</v>
      </c>
      <c r="AA70" s="5">
        <v>1.27</v>
      </c>
      <c r="AB70" s="9">
        <v>1.3</v>
      </c>
      <c r="AC70" s="57">
        <v>999.15</v>
      </c>
      <c r="AD70" s="57">
        <v>0.25</v>
      </c>
      <c r="AE70" s="57">
        <v>999.19</v>
      </c>
      <c r="AF70" s="57">
        <v>999.03</v>
      </c>
      <c r="AG70" s="57">
        <v>998.93</v>
      </c>
      <c r="AH70" s="59">
        <v>1000</v>
      </c>
      <c r="AI70" s="11">
        <v>999.15</v>
      </c>
      <c r="AJ70" s="43">
        <v>0.25</v>
      </c>
    </row>
    <row r="71" spans="1:36" x14ac:dyDescent="0.3">
      <c r="A71" s="37" t="s">
        <v>110</v>
      </c>
      <c r="B71" s="14" t="s">
        <v>28</v>
      </c>
      <c r="C71" s="73" t="s">
        <v>65</v>
      </c>
      <c r="D71" s="75">
        <v>2</v>
      </c>
      <c r="E71" s="25">
        <v>13</v>
      </c>
      <c r="F71" s="25">
        <v>2</v>
      </c>
      <c r="G71" s="22">
        <f t="shared" si="0"/>
        <v>6.5</v>
      </c>
      <c r="H71" s="23">
        <v>1</v>
      </c>
      <c r="I71" s="24">
        <v>1</v>
      </c>
      <c r="J71" s="55">
        <v>2</v>
      </c>
      <c r="K71" s="53">
        <v>3.41</v>
      </c>
      <c r="L71" s="51" t="s">
        <v>125</v>
      </c>
      <c r="M71" s="51" t="s">
        <v>124</v>
      </c>
      <c r="N71" s="16">
        <v>4.1500000000000004</v>
      </c>
      <c r="O71" s="4" t="s">
        <v>125</v>
      </c>
      <c r="P71" s="5" t="s">
        <v>124</v>
      </c>
      <c r="Q71" s="5" t="s">
        <v>124</v>
      </c>
      <c r="R71" s="5" t="s">
        <v>125</v>
      </c>
      <c r="S71" s="55">
        <v>2</v>
      </c>
      <c r="T71" s="53">
        <v>3.26</v>
      </c>
      <c r="U71" s="51" t="s">
        <v>124</v>
      </c>
      <c r="V71" s="51" t="s">
        <v>124</v>
      </c>
      <c r="W71" s="45">
        <v>1</v>
      </c>
      <c r="X71" s="11">
        <v>3.85</v>
      </c>
      <c r="Y71" s="4" t="s">
        <v>124</v>
      </c>
      <c r="Z71" s="5" t="s">
        <v>124</v>
      </c>
      <c r="AA71" s="5" t="s">
        <v>124</v>
      </c>
      <c r="AB71" s="9" t="s">
        <v>124</v>
      </c>
      <c r="AC71" s="57">
        <v>989.5</v>
      </c>
      <c r="AD71" s="57" t="s">
        <v>124</v>
      </c>
      <c r="AE71" s="57" t="s">
        <v>124</v>
      </c>
      <c r="AF71" s="57" t="s">
        <v>124</v>
      </c>
      <c r="AG71" s="57" t="s">
        <v>124</v>
      </c>
      <c r="AH71" s="59">
        <v>1000</v>
      </c>
      <c r="AI71" s="11">
        <v>989.5</v>
      </c>
      <c r="AJ71" s="43" t="s">
        <v>124</v>
      </c>
    </row>
    <row r="72" spans="1:36" x14ac:dyDescent="0.3">
      <c r="A72" s="37" t="s">
        <v>110</v>
      </c>
      <c r="B72" s="14" t="s">
        <v>28</v>
      </c>
      <c r="C72" s="73" t="s">
        <v>66</v>
      </c>
      <c r="D72" s="75">
        <v>9</v>
      </c>
      <c r="E72" s="25">
        <v>52</v>
      </c>
      <c r="F72" s="25">
        <v>9</v>
      </c>
      <c r="G72" s="22">
        <f t="shared" si="0"/>
        <v>5.7777777777777777</v>
      </c>
      <c r="H72" s="23">
        <v>13</v>
      </c>
      <c r="I72" s="24">
        <v>7</v>
      </c>
      <c r="J72" s="55">
        <v>10</v>
      </c>
      <c r="K72" s="53">
        <v>3.45</v>
      </c>
      <c r="L72" s="51">
        <v>0.24</v>
      </c>
      <c r="M72" s="51">
        <v>3.61</v>
      </c>
      <c r="N72" s="16">
        <v>3.67</v>
      </c>
      <c r="O72" s="4">
        <v>0.3</v>
      </c>
      <c r="P72" s="5">
        <v>3.72</v>
      </c>
      <c r="Q72" s="5">
        <v>3.84</v>
      </c>
      <c r="R72" s="5">
        <v>3.87</v>
      </c>
      <c r="S72" s="55">
        <v>10</v>
      </c>
      <c r="T72" s="53">
        <v>3.21</v>
      </c>
      <c r="U72" s="51">
        <v>0.21</v>
      </c>
      <c r="V72" s="51">
        <v>3.36</v>
      </c>
      <c r="W72" s="45">
        <v>1</v>
      </c>
      <c r="X72" s="11">
        <v>3.41</v>
      </c>
      <c r="Y72" s="4">
        <v>0.27</v>
      </c>
      <c r="Z72" s="5">
        <v>3.45</v>
      </c>
      <c r="AA72" s="5">
        <v>3.55</v>
      </c>
      <c r="AB72" s="9">
        <v>3.58</v>
      </c>
      <c r="AC72" s="57">
        <v>991.28</v>
      </c>
      <c r="AD72" s="57">
        <v>0.96</v>
      </c>
      <c r="AE72" s="57">
        <v>991.25</v>
      </c>
      <c r="AF72" s="57">
        <v>990.87</v>
      </c>
      <c r="AG72" s="57">
        <v>990.78</v>
      </c>
      <c r="AH72" s="59">
        <v>1000</v>
      </c>
      <c r="AI72" s="11">
        <v>991.28</v>
      </c>
      <c r="AJ72" s="43">
        <v>0.96</v>
      </c>
    </row>
    <row r="73" spans="1:36" x14ac:dyDescent="0.3">
      <c r="A73" s="37" t="s">
        <v>110</v>
      </c>
      <c r="B73" s="14" t="s">
        <v>28</v>
      </c>
      <c r="C73" s="73" t="s">
        <v>67</v>
      </c>
      <c r="D73" s="75">
        <v>7</v>
      </c>
      <c r="E73" s="25">
        <v>66</v>
      </c>
      <c r="F73" s="25">
        <v>7</v>
      </c>
      <c r="G73" s="22">
        <f t="shared" si="0"/>
        <v>9.4285714285714288</v>
      </c>
      <c r="H73" s="23">
        <v>4</v>
      </c>
      <c r="I73" s="24">
        <v>3</v>
      </c>
      <c r="J73" s="55">
        <v>7</v>
      </c>
      <c r="K73" s="53">
        <v>3.94</v>
      </c>
      <c r="L73" s="51">
        <v>0.14000000000000001</v>
      </c>
      <c r="M73" s="51">
        <v>4.0199999999999996</v>
      </c>
      <c r="N73" s="16">
        <v>4.05</v>
      </c>
      <c r="O73" s="4">
        <v>0.19</v>
      </c>
      <c r="P73" s="5">
        <v>4.0199999999999996</v>
      </c>
      <c r="Q73" s="5">
        <v>4.1399999999999997</v>
      </c>
      <c r="R73" s="5">
        <v>4.21</v>
      </c>
      <c r="S73" s="55">
        <v>7</v>
      </c>
      <c r="T73" s="53">
        <v>3.64</v>
      </c>
      <c r="U73" s="51">
        <v>0.13</v>
      </c>
      <c r="V73" s="51">
        <v>3.72</v>
      </c>
      <c r="W73" s="45">
        <v>1</v>
      </c>
      <c r="X73" s="11">
        <v>3.75</v>
      </c>
      <c r="Y73" s="4">
        <v>0.17</v>
      </c>
      <c r="Z73" s="5">
        <v>3.72</v>
      </c>
      <c r="AA73" s="5">
        <v>3.83</v>
      </c>
      <c r="AB73" s="9">
        <v>3.89</v>
      </c>
      <c r="AC73" s="57">
        <v>990.12</v>
      </c>
      <c r="AD73" s="57">
        <v>0.63</v>
      </c>
      <c r="AE73" s="57">
        <v>990.16</v>
      </c>
      <c r="AF73" s="57">
        <v>989.77</v>
      </c>
      <c r="AG73" s="57">
        <v>989.68</v>
      </c>
      <c r="AH73" s="59">
        <v>1000</v>
      </c>
      <c r="AI73" s="11">
        <v>990.12</v>
      </c>
      <c r="AJ73" s="43">
        <v>0.63</v>
      </c>
    </row>
    <row r="74" spans="1:36" x14ac:dyDescent="0.3">
      <c r="A74" s="37" t="s">
        <v>110</v>
      </c>
      <c r="B74" s="14" t="s">
        <v>28</v>
      </c>
      <c r="C74" s="73" t="s">
        <v>68</v>
      </c>
      <c r="D74" s="75">
        <v>6</v>
      </c>
      <c r="E74" s="25">
        <v>78</v>
      </c>
      <c r="F74" s="25">
        <v>6</v>
      </c>
      <c r="G74" s="22">
        <f t="shared" si="0"/>
        <v>13</v>
      </c>
      <c r="H74" s="23">
        <v>11</v>
      </c>
      <c r="I74" s="24">
        <v>3</v>
      </c>
      <c r="J74" s="55">
        <v>6</v>
      </c>
      <c r="K74" s="53">
        <v>3.05</v>
      </c>
      <c r="L74" s="51">
        <v>0.56000000000000005</v>
      </c>
      <c r="M74" s="51">
        <v>3.34</v>
      </c>
      <c r="N74" s="16">
        <v>3.44</v>
      </c>
      <c r="O74" s="4">
        <v>0.21</v>
      </c>
      <c r="P74" s="5">
        <v>3.27</v>
      </c>
      <c r="Q74" s="5">
        <v>3.49</v>
      </c>
      <c r="R74" s="5">
        <v>3.69</v>
      </c>
      <c r="S74" s="55">
        <v>6</v>
      </c>
      <c r="T74" s="53">
        <v>2.85</v>
      </c>
      <c r="U74" s="51">
        <v>0.5</v>
      </c>
      <c r="V74" s="51">
        <v>3.11</v>
      </c>
      <c r="W74" s="45">
        <v>1</v>
      </c>
      <c r="X74" s="11">
        <v>3.2</v>
      </c>
      <c r="Y74" s="4">
        <v>0.18</v>
      </c>
      <c r="Z74" s="5">
        <v>3.05</v>
      </c>
      <c r="AA74" s="5">
        <v>3.25</v>
      </c>
      <c r="AB74" s="9">
        <v>3.42</v>
      </c>
      <c r="AC74" s="57">
        <v>992.08</v>
      </c>
      <c r="AD74" s="57">
        <v>0.7</v>
      </c>
      <c r="AE74" s="57">
        <v>992.69</v>
      </c>
      <c r="AF74" s="57">
        <v>991.85</v>
      </c>
      <c r="AG74" s="57">
        <v>991.22</v>
      </c>
      <c r="AH74" s="59">
        <v>1000</v>
      </c>
      <c r="AI74" s="11">
        <v>992.08</v>
      </c>
      <c r="AJ74" s="43">
        <v>0.7</v>
      </c>
    </row>
    <row r="75" spans="1:36" x14ac:dyDescent="0.3">
      <c r="A75" s="37" t="s">
        <v>110</v>
      </c>
      <c r="B75" s="14" t="s">
        <v>28</v>
      </c>
      <c r="C75" s="73" t="s">
        <v>69</v>
      </c>
      <c r="D75" s="75">
        <v>12</v>
      </c>
      <c r="E75" s="25">
        <v>68</v>
      </c>
      <c r="F75" s="25">
        <v>12</v>
      </c>
      <c r="G75" s="22">
        <f t="shared" si="0"/>
        <v>5.666666666666667</v>
      </c>
      <c r="H75" s="23">
        <v>19</v>
      </c>
      <c r="I75" s="24">
        <v>11</v>
      </c>
      <c r="J75" s="55">
        <v>13</v>
      </c>
      <c r="K75" s="53">
        <v>3.14</v>
      </c>
      <c r="L75" s="51">
        <v>0.26</v>
      </c>
      <c r="M75" s="51">
        <v>3.38</v>
      </c>
      <c r="N75" s="16">
        <v>3.85</v>
      </c>
      <c r="O75" s="4">
        <v>0.24</v>
      </c>
      <c r="P75" s="5">
        <v>3.85</v>
      </c>
      <c r="Q75" s="5">
        <v>3.87</v>
      </c>
      <c r="R75" s="5">
        <v>4.0199999999999996</v>
      </c>
      <c r="S75" s="55">
        <v>13</v>
      </c>
      <c r="T75" s="53">
        <v>2.95</v>
      </c>
      <c r="U75" s="51">
        <v>0.23</v>
      </c>
      <c r="V75" s="51">
        <v>3.14</v>
      </c>
      <c r="W75" s="45">
        <v>1</v>
      </c>
      <c r="X75" s="11">
        <v>3.57</v>
      </c>
      <c r="Y75" s="4">
        <v>0.21</v>
      </c>
      <c r="Z75" s="5">
        <v>3.57</v>
      </c>
      <c r="AA75" s="5">
        <v>3.59</v>
      </c>
      <c r="AB75" s="9">
        <v>3.72</v>
      </c>
      <c r="AC75" s="57">
        <v>990.66</v>
      </c>
      <c r="AD75" s="57">
        <v>0.88</v>
      </c>
      <c r="AE75" s="57">
        <v>990.79</v>
      </c>
      <c r="AF75" s="57">
        <v>990.5</v>
      </c>
      <c r="AG75" s="57">
        <v>989.65</v>
      </c>
      <c r="AH75" s="59">
        <v>1000</v>
      </c>
      <c r="AI75" s="11">
        <v>990.66</v>
      </c>
      <c r="AJ75" s="43">
        <v>0.88</v>
      </c>
    </row>
    <row r="76" spans="1:36" x14ac:dyDescent="0.3">
      <c r="A76" s="37" t="s">
        <v>110</v>
      </c>
      <c r="B76" s="14" t="s">
        <v>28</v>
      </c>
      <c r="C76" s="73" t="s">
        <v>70</v>
      </c>
      <c r="D76" s="75">
        <v>8</v>
      </c>
      <c r="E76" s="25">
        <v>53</v>
      </c>
      <c r="F76" s="25">
        <v>8</v>
      </c>
      <c r="G76" s="22">
        <f t="shared" si="0"/>
        <v>6.625</v>
      </c>
      <c r="H76" s="23">
        <v>3</v>
      </c>
      <c r="I76" s="24">
        <v>2</v>
      </c>
      <c r="J76" s="55">
        <v>8</v>
      </c>
      <c r="K76" s="53">
        <v>3.83</v>
      </c>
      <c r="L76" s="51">
        <v>0.26</v>
      </c>
      <c r="M76" s="51">
        <v>3.96</v>
      </c>
      <c r="N76" s="16">
        <v>3.94</v>
      </c>
      <c r="O76" s="4">
        <v>0.28999999999999998</v>
      </c>
      <c r="P76" s="5">
        <v>3.96</v>
      </c>
      <c r="Q76" s="5">
        <v>3.99</v>
      </c>
      <c r="R76" s="5">
        <v>4.08</v>
      </c>
      <c r="S76" s="55">
        <v>8</v>
      </c>
      <c r="T76" s="53">
        <v>3.55</v>
      </c>
      <c r="U76" s="51">
        <v>0.23</v>
      </c>
      <c r="V76" s="51">
        <v>3.66</v>
      </c>
      <c r="W76" s="45">
        <v>1</v>
      </c>
      <c r="X76" s="11">
        <v>3.64</v>
      </c>
      <c r="Y76" s="4">
        <v>0.26</v>
      </c>
      <c r="Z76" s="5">
        <v>3.66</v>
      </c>
      <c r="AA76" s="5">
        <v>3.69</v>
      </c>
      <c r="AB76" s="9">
        <v>3.77</v>
      </c>
      <c r="AC76" s="57">
        <v>990.45</v>
      </c>
      <c r="AD76" s="57">
        <v>0.96</v>
      </c>
      <c r="AE76" s="57">
        <v>990.39</v>
      </c>
      <c r="AF76" s="57">
        <v>990.11</v>
      </c>
      <c r="AG76" s="57">
        <v>990.08</v>
      </c>
      <c r="AH76" s="59">
        <v>1000</v>
      </c>
      <c r="AI76" s="11">
        <v>990.45</v>
      </c>
      <c r="AJ76" s="43">
        <v>0.96</v>
      </c>
    </row>
    <row r="77" spans="1:36" x14ac:dyDescent="0.3">
      <c r="A77" s="37" t="s">
        <v>110</v>
      </c>
      <c r="B77" s="14" t="s">
        <v>28</v>
      </c>
      <c r="C77" s="73" t="s">
        <v>71</v>
      </c>
      <c r="D77" s="75">
        <v>11</v>
      </c>
      <c r="E77" s="25">
        <v>75</v>
      </c>
      <c r="F77" s="25">
        <v>9</v>
      </c>
      <c r="G77" s="22">
        <f t="shared" si="0"/>
        <v>6.8181818181818183</v>
      </c>
      <c r="H77" s="23">
        <v>22</v>
      </c>
      <c r="I77" s="24">
        <v>5</v>
      </c>
      <c r="J77" s="55">
        <v>11</v>
      </c>
      <c r="K77" s="53">
        <v>3.4</v>
      </c>
      <c r="L77" s="51">
        <v>0.3</v>
      </c>
      <c r="M77" s="51">
        <v>3.69</v>
      </c>
      <c r="N77" s="16">
        <v>3.83</v>
      </c>
      <c r="O77" s="4">
        <v>0.27</v>
      </c>
      <c r="P77" s="5">
        <v>3.69</v>
      </c>
      <c r="Q77" s="5">
        <v>4.03</v>
      </c>
      <c r="R77" s="5">
        <v>4.03</v>
      </c>
      <c r="S77" s="55">
        <v>11</v>
      </c>
      <c r="T77" s="53">
        <v>3.18</v>
      </c>
      <c r="U77" s="51">
        <v>0.25</v>
      </c>
      <c r="V77" s="51">
        <v>3.42</v>
      </c>
      <c r="W77" s="45">
        <v>1</v>
      </c>
      <c r="X77" s="11">
        <v>3.55</v>
      </c>
      <c r="Y77" s="4">
        <v>0.25</v>
      </c>
      <c r="Z77" s="5">
        <v>3.42</v>
      </c>
      <c r="AA77" s="5">
        <v>3.73</v>
      </c>
      <c r="AB77" s="9">
        <v>3.73</v>
      </c>
      <c r="AC77" s="57">
        <v>990.62</v>
      </c>
      <c r="AD77" s="57">
        <v>1.1299999999999999</v>
      </c>
      <c r="AE77" s="57">
        <v>991.25</v>
      </c>
      <c r="AF77" s="57">
        <v>990.26</v>
      </c>
      <c r="AG77" s="57">
        <v>989.43</v>
      </c>
      <c r="AH77" s="59">
        <v>1000</v>
      </c>
      <c r="AI77" s="11">
        <v>990.62</v>
      </c>
      <c r="AJ77" s="43">
        <v>1.1299999999999999</v>
      </c>
    </row>
    <row r="78" spans="1:36" x14ac:dyDescent="0.3">
      <c r="A78" s="37" t="s">
        <v>110</v>
      </c>
      <c r="B78" s="14" t="s">
        <v>28</v>
      </c>
      <c r="C78" s="73" t="s">
        <v>72</v>
      </c>
      <c r="D78" s="75">
        <v>2</v>
      </c>
      <c r="E78" s="25">
        <v>14</v>
      </c>
      <c r="F78" s="25">
        <v>2</v>
      </c>
      <c r="G78" s="22">
        <f t="shared" si="0"/>
        <v>7</v>
      </c>
      <c r="H78" s="23">
        <v>1</v>
      </c>
      <c r="I78" s="24">
        <v>1</v>
      </c>
      <c r="J78" s="55">
        <v>3</v>
      </c>
      <c r="K78" s="53">
        <v>4.2</v>
      </c>
      <c r="L78" s="51">
        <v>0.26</v>
      </c>
      <c r="M78" s="51" t="s">
        <v>127</v>
      </c>
      <c r="N78" s="16">
        <v>4.7</v>
      </c>
      <c r="O78" s="4" t="s">
        <v>125</v>
      </c>
      <c r="P78" s="5" t="s">
        <v>124</v>
      </c>
      <c r="Q78" s="5" t="s">
        <v>124</v>
      </c>
      <c r="R78" s="5" t="s">
        <v>125</v>
      </c>
      <c r="S78" s="55">
        <v>3</v>
      </c>
      <c r="T78" s="53">
        <v>3.9</v>
      </c>
      <c r="U78" s="51">
        <v>0.26</v>
      </c>
      <c r="V78" s="51" t="s">
        <v>127</v>
      </c>
      <c r="W78" s="45">
        <v>1</v>
      </c>
      <c r="X78" s="11">
        <v>4.37</v>
      </c>
      <c r="Y78" s="4" t="s">
        <v>124</v>
      </c>
      <c r="Z78" s="5" t="s">
        <v>124</v>
      </c>
      <c r="AA78" s="5" t="s">
        <v>124</v>
      </c>
      <c r="AB78" s="9" t="s">
        <v>124</v>
      </c>
      <c r="AC78" s="57">
        <v>986.57</v>
      </c>
      <c r="AD78" s="57" t="s">
        <v>124</v>
      </c>
      <c r="AE78" s="57" t="s">
        <v>124</v>
      </c>
      <c r="AF78" s="57" t="s">
        <v>124</v>
      </c>
      <c r="AG78" s="57" t="s">
        <v>124</v>
      </c>
      <c r="AH78" s="59">
        <v>1000</v>
      </c>
      <c r="AI78" s="11">
        <v>986.57</v>
      </c>
      <c r="AJ78" s="43" t="s">
        <v>124</v>
      </c>
    </row>
    <row r="79" spans="1:36" x14ac:dyDescent="0.3">
      <c r="A79" s="37" t="s">
        <v>110</v>
      </c>
      <c r="B79" s="14" t="s">
        <v>28</v>
      </c>
      <c r="C79" s="73" t="s">
        <v>73</v>
      </c>
      <c r="D79" s="75">
        <v>10</v>
      </c>
      <c r="E79" s="25">
        <v>94</v>
      </c>
      <c r="F79" s="25">
        <v>10</v>
      </c>
      <c r="G79" s="22">
        <f t="shared" ref="G79:G123" si="1">E79/D79</f>
        <v>9.4</v>
      </c>
      <c r="H79" s="23">
        <v>6</v>
      </c>
      <c r="I79" s="24">
        <v>5</v>
      </c>
      <c r="J79" s="55">
        <v>10</v>
      </c>
      <c r="K79" s="53">
        <v>3.77</v>
      </c>
      <c r="L79" s="51">
        <v>0.39</v>
      </c>
      <c r="M79" s="51">
        <v>3.99</v>
      </c>
      <c r="N79" s="16">
        <v>3.96</v>
      </c>
      <c r="O79" s="4">
        <v>0.22</v>
      </c>
      <c r="P79" s="5">
        <v>3.99</v>
      </c>
      <c r="Q79" s="5">
        <v>4.0199999999999996</v>
      </c>
      <c r="R79" s="5">
        <v>4.18</v>
      </c>
      <c r="S79" s="55">
        <v>10</v>
      </c>
      <c r="T79" s="53">
        <v>3.49</v>
      </c>
      <c r="U79" s="51">
        <v>0.35</v>
      </c>
      <c r="V79" s="51">
        <v>3.69</v>
      </c>
      <c r="W79" s="45">
        <v>1</v>
      </c>
      <c r="X79" s="11">
        <v>3.67</v>
      </c>
      <c r="Y79" s="4">
        <v>0.2</v>
      </c>
      <c r="Z79" s="5">
        <v>3.69</v>
      </c>
      <c r="AA79" s="5">
        <v>3.75</v>
      </c>
      <c r="AB79" s="9">
        <v>3.86</v>
      </c>
      <c r="AC79" s="57">
        <v>990.08</v>
      </c>
      <c r="AD79" s="57">
        <v>0.43</v>
      </c>
      <c r="AE79" s="57">
        <v>990.18</v>
      </c>
      <c r="AF79" s="57">
        <v>989.79</v>
      </c>
      <c r="AG79" s="57">
        <v>989.71</v>
      </c>
      <c r="AH79" s="59">
        <v>1000</v>
      </c>
      <c r="AI79" s="11">
        <v>990.08</v>
      </c>
      <c r="AJ79" s="43">
        <v>0.43</v>
      </c>
    </row>
    <row r="80" spans="1:36" x14ac:dyDescent="0.3">
      <c r="A80" s="37" t="s">
        <v>110</v>
      </c>
      <c r="B80" s="14" t="s">
        <v>28</v>
      </c>
      <c r="C80" s="73" t="s">
        <v>74</v>
      </c>
      <c r="D80" s="75">
        <v>8</v>
      </c>
      <c r="E80" s="25">
        <v>52</v>
      </c>
      <c r="F80" s="25">
        <v>8</v>
      </c>
      <c r="G80" s="22">
        <f t="shared" si="1"/>
        <v>6.5</v>
      </c>
      <c r="H80" s="23">
        <v>1</v>
      </c>
      <c r="I80" s="24">
        <v>1</v>
      </c>
      <c r="J80" s="55">
        <v>8</v>
      </c>
      <c r="K80" s="53">
        <v>3.51</v>
      </c>
      <c r="L80" s="51">
        <v>0.9</v>
      </c>
      <c r="M80" s="51">
        <v>3.96</v>
      </c>
      <c r="N80" s="16">
        <v>3.55</v>
      </c>
      <c r="O80" s="4">
        <v>0.91</v>
      </c>
      <c r="P80" s="5">
        <v>3.84</v>
      </c>
      <c r="Q80" s="5">
        <v>3.89</v>
      </c>
      <c r="R80" s="5">
        <v>3.96</v>
      </c>
      <c r="S80" s="55">
        <v>8</v>
      </c>
      <c r="T80" s="53">
        <v>3.26</v>
      </c>
      <c r="U80" s="51">
        <v>0.81</v>
      </c>
      <c r="V80" s="51">
        <v>3.66</v>
      </c>
      <c r="W80" s="45">
        <v>1</v>
      </c>
      <c r="X80" s="11">
        <v>3.31</v>
      </c>
      <c r="Y80" s="4">
        <v>0.82</v>
      </c>
      <c r="Z80" s="5">
        <v>3.6</v>
      </c>
      <c r="AA80" s="5">
        <v>3.66</v>
      </c>
      <c r="AB80" s="9">
        <v>3.67</v>
      </c>
      <c r="AC80" s="57">
        <v>991.67</v>
      </c>
      <c r="AD80" s="57">
        <v>2.97</v>
      </c>
      <c r="AE80" s="57">
        <v>990.59</v>
      </c>
      <c r="AF80" s="57">
        <v>990.5</v>
      </c>
      <c r="AG80" s="57">
        <v>990.36</v>
      </c>
      <c r="AH80" s="59">
        <v>1000</v>
      </c>
      <c r="AI80" s="11">
        <v>991.67</v>
      </c>
      <c r="AJ80" s="43">
        <v>2.97</v>
      </c>
    </row>
    <row r="81" spans="1:36" x14ac:dyDescent="0.3">
      <c r="A81" s="37" t="s">
        <v>110</v>
      </c>
      <c r="B81" s="14" t="s">
        <v>28</v>
      </c>
      <c r="C81" s="73" t="s">
        <v>75</v>
      </c>
      <c r="D81" s="75">
        <v>6</v>
      </c>
      <c r="E81" s="25">
        <v>48</v>
      </c>
      <c r="F81" s="25">
        <v>6</v>
      </c>
      <c r="G81" s="22">
        <f t="shared" si="1"/>
        <v>8</v>
      </c>
      <c r="H81" s="23">
        <v>3</v>
      </c>
      <c r="I81" s="24">
        <v>3</v>
      </c>
      <c r="J81" s="55">
        <v>6</v>
      </c>
      <c r="K81" s="53">
        <v>4.12</v>
      </c>
      <c r="L81" s="51">
        <v>0.15</v>
      </c>
      <c r="M81" s="51">
        <v>4.2300000000000004</v>
      </c>
      <c r="N81" s="16">
        <v>4.33</v>
      </c>
      <c r="O81" s="4">
        <v>0.12</v>
      </c>
      <c r="P81" s="5">
        <v>4.26</v>
      </c>
      <c r="Q81" s="5">
        <v>4.4000000000000004</v>
      </c>
      <c r="R81" s="5">
        <v>4.45</v>
      </c>
      <c r="S81" s="55">
        <v>6</v>
      </c>
      <c r="T81" s="53">
        <v>3.81</v>
      </c>
      <c r="U81" s="51">
        <v>0.13</v>
      </c>
      <c r="V81" s="51">
        <v>3.91</v>
      </c>
      <c r="W81" s="45">
        <v>1</v>
      </c>
      <c r="X81" s="11">
        <v>4</v>
      </c>
      <c r="Y81" s="4">
        <v>0.11</v>
      </c>
      <c r="Z81" s="5">
        <v>3.93</v>
      </c>
      <c r="AA81" s="5">
        <v>4.0599999999999996</v>
      </c>
      <c r="AB81" s="9">
        <v>4.1100000000000003</v>
      </c>
      <c r="AC81" s="57">
        <v>989.13</v>
      </c>
      <c r="AD81" s="57">
        <v>0.35</v>
      </c>
      <c r="AE81" s="57">
        <v>989.31</v>
      </c>
      <c r="AF81" s="57">
        <v>989.09</v>
      </c>
      <c r="AG81" s="57">
        <v>988.8</v>
      </c>
      <c r="AH81" s="59">
        <v>1000</v>
      </c>
      <c r="AI81" s="11">
        <v>989.13</v>
      </c>
      <c r="AJ81" s="43">
        <v>0.35</v>
      </c>
    </row>
    <row r="82" spans="1:36" x14ac:dyDescent="0.3">
      <c r="A82" s="37" t="s">
        <v>110</v>
      </c>
      <c r="B82" s="14" t="s">
        <v>30</v>
      </c>
      <c r="C82" s="73" t="s">
        <v>77</v>
      </c>
      <c r="D82" s="75">
        <v>27</v>
      </c>
      <c r="E82" s="25">
        <v>141</v>
      </c>
      <c r="F82" s="25">
        <v>24</v>
      </c>
      <c r="G82" s="22">
        <f t="shared" si="1"/>
        <v>5.2222222222222223</v>
      </c>
      <c r="H82" s="23">
        <v>16</v>
      </c>
      <c r="I82" s="24">
        <v>10</v>
      </c>
      <c r="J82" s="55">
        <v>29</v>
      </c>
      <c r="K82" s="53">
        <v>3.65</v>
      </c>
      <c r="L82" s="51">
        <v>0.3</v>
      </c>
      <c r="M82" s="51">
        <v>3.88</v>
      </c>
      <c r="N82" s="16">
        <v>3.85</v>
      </c>
      <c r="O82" s="4">
        <v>0.16</v>
      </c>
      <c r="P82" s="5">
        <v>3.85</v>
      </c>
      <c r="Q82" s="5">
        <v>3.9</v>
      </c>
      <c r="R82" s="5">
        <v>3.99</v>
      </c>
      <c r="S82" s="55">
        <v>29</v>
      </c>
      <c r="T82" s="53">
        <v>3.38</v>
      </c>
      <c r="U82" s="51">
        <v>0.27</v>
      </c>
      <c r="V82" s="51">
        <v>3.59</v>
      </c>
      <c r="W82" s="45">
        <v>0.95833333333333337</v>
      </c>
      <c r="X82" s="11">
        <v>3.59</v>
      </c>
      <c r="Y82" s="4">
        <v>0.14000000000000001</v>
      </c>
      <c r="Z82" s="5">
        <v>3.58</v>
      </c>
      <c r="AA82" s="5">
        <v>3.65</v>
      </c>
      <c r="AB82" s="9">
        <v>3.69</v>
      </c>
      <c r="AC82" s="57">
        <v>990.69</v>
      </c>
      <c r="AD82" s="57">
        <v>0.55000000000000004</v>
      </c>
      <c r="AE82" s="57">
        <v>990.65</v>
      </c>
      <c r="AF82" s="57">
        <v>990.44</v>
      </c>
      <c r="AG82" s="57">
        <v>990.27</v>
      </c>
      <c r="AH82" s="59">
        <v>1000</v>
      </c>
      <c r="AI82" s="11">
        <v>990.69</v>
      </c>
      <c r="AJ82" s="43">
        <v>0.55000000000000004</v>
      </c>
    </row>
    <row r="83" spans="1:36" x14ac:dyDescent="0.3">
      <c r="A83" s="37" t="s">
        <v>110</v>
      </c>
      <c r="B83" s="14" t="s">
        <v>30</v>
      </c>
      <c r="C83" s="73" t="s">
        <v>78</v>
      </c>
      <c r="D83" s="75">
        <v>25</v>
      </c>
      <c r="E83" s="25">
        <v>169</v>
      </c>
      <c r="F83" s="25">
        <v>25</v>
      </c>
      <c r="G83" s="22">
        <f t="shared" si="1"/>
        <v>6.76</v>
      </c>
      <c r="H83" s="23">
        <v>5</v>
      </c>
      <c r="I83" s="24">
        <v>5</v>
      </c>
      <c r="J83" s="55">
        <v>26</v>
      </c>
      <c r="K83" s="53">
        <v>4.08</v>
      </c>
      <c r="L83" s="51">
        <v>0.26</v>
      </c>
      <c r="M83" s="51">
        <v>4.3099999999999996</v>
      </c>
      <c r="N83" s="16">
        <v>4.2</v>
      </c>
      <c r="O83" s="4">
        <v>0.17</v>
      </c>
      <c r="P83" s="5">
        <v>4.24</v>
      </c>
      <c r="Q83" s="5">
        <v>4.29</v>
      </c>
      <c r="R83" s="5">
        <v>4.3600000000000003</v>
      </c>
      <c r="S83" s="55">
        <v>26</v>
      </c>
      <c r="T83" s="53">
        <v>3.78</v>
      </c>
      <c r="U83" s="51">
        <v>0.24</v>
      </c>
      <c r="V83" s="51">
        <v>4.01</v>
      </c>
      <c r="W83" s="45">
        <v>1</v>
      </c>
      <c r="X83" s="11">
        <v>3.9</v>
      </c>
      <c r="Y83" s="4">
        <v>0.15</v>
      </c>
      <c r="Z83" s="5">
        <v>3.94</v>
      </c>
      <c r="AA83" s="5">
        <v>3.97</v>
      </c>
      <c r="AB83" s="9">
        <v>4.0199999999999996</v>
      </c>
      <c r="AC83" s="57">
        <v>989.46</v>
      </c>
      <c r="AD83" s="57">
        <v>0.56000000000000005</v>
      </c>
      <c r="AE83" s="57">
        <v>989.31</v>
      </c>
      <c r="AF83" s="57">
        <v>989.13</v>
      </c>
      <c r="AG83" s="57">
        <v>988.99</v>
      </c>
      <c r="AH83" s="59">
        <v>1000</v>
      </c>
      <c r="AI83" s="11">
        <v>989.46</v>
      </c>
      <c r="AJ83" s="43">
        <v>0.56000000000000005</v>
      </c>
    </row>
    <row r="84" spans="1:36" x14ac:dyDescent="0.3">
      <c r="A84" s="37" t="s">
        <v>110</v>
      </c>
      <c r="B84" s="14" t="s">
        <v>32</v>
      </c>
      <c r="C84" s="73" t="s">
        <v>79</v>
      </c>
      <c r="D84" s="75">
        <v>4</v>
      </c>
      <c r="E84" s="25">
        <v>38</v>
      </c>
      <c r="F84" s="25">
        <v>4</v>
      </c>
      <c r="G84" s="22">
        <f t="shared" si="1"/>
        <v>9.5</v>
      </c>
      <c r="H84" s="23">
        <v>9</v>
      </c>
      <c r="I84" s="24">
        <v>3</v>
      </c>
      <c r="J84" s="55">
        <v>4</v>
      </c>
      <c r="K84" s="53">
        <v>1.08</v>
      </c>
      <c r="L84" s="51">
        <v>0.02</v>
      </c>
      <c r="M84" s="51">
        <v>1.08</v>
      </c>
      <c r="N84" s="16">
        <v>1.1399999999999999</v>
      </c>
      <c r="O84" s="4">
        <v>0.05</v>
      </c>
      <c r="P84" s="5">
        <v>1.1399999999999999</v>
      </c>
      <c r="Q84" s="5">
        <v>1.1399999999999999</v>
      </c>
      <c r="R84" s="5">
        <v>1.18</v>
      </c>
      <c r="S84" s="55">
        <v>4</v>
      </c>
      <c r="T84" s="53">
        <v>1.07</v>
      </c>
      <c r="U84" s="51">
        <v>0.02</v>
      </c>
      <c r="V84" s="51">
        <v>1.07</v>
      </c>
      <c r="W84" s="45">
        <v>1</v>
      </c>
      <c r="X84" s="11">
        <v>1.1299999999999999</v>
      </c>
      <c r="Y84" s="4">
        <v>0.04</v>
      </c>
      <c r="Z84" s="5">
        <v>1.1299999999999999</v>
      </c>
      <c r="AA84" s="5">
        <v>1.1299999999999999</v>
      </c>
      <c r="AB84" s="9">
        <v>1.1599999999999999</v>
      </c>
      <c r="AC84" s="57">
        <v>999.54</v>
      </c>
      <c r="AD84" s="57">
        <v>0.15</v>
      </c>
      <c r="AE84" s="57">
        <v>999.55</v>
      </c>
      <c r="AF84" s="57">
        <v>999.55</v>
      </c>
      <c r="AG84" s="57">
        <v>999.43</v>
      </c>
      <c r="AH84" s="59">
        <v>1000</v>
      </c>
      <c r="AI84" s="11">
        <v>999.54</v>
      </c>
      <c r="AJ84" s="43">
        <v>0.15</v>
      </c>
    </row>
    <row r="85" spans="1:36" x14ac:dyDescent="0.3">
      <c r="A85" s="37" t="s">
        <v>110</v>
      </c>
      <c r="B85" s="14" t="s">
        <v>35</v>
      </c>
      <c r="C85" s="73" t="s">
        <v>80</v>
      </c>
      <c r="D85" s="75">
        <v>21</v>
      </c>
      <c r="E85" s="25">
        <v>239</v>
      </c>
      <c r="F85" s="25">
        <v>21</v>
      </c>
      <c r="G85" s="22">
        <f t="shared" si="1"/>
        <v>11.380952380952381</v>
      </c>
      <c r="H85" s="23">
        <v>4</v>
      </c>
      <c r="I85" s="24">
        <v>3</v>
      </c>
      <c r="J85" s="55">
        <v>22</v>
      </c>
      <c r="K85" s="53">
        <v>4.8099999999999996</v>
      </c>
      <c r="L85" s="51">
        <v>0.28999999999999998</v>
      </c>
      <c r="M85" s="51">
        <v>5.01</v>
      </c>
      <c r="N85" s="16">
        <v>4.88</v>
      </c>
      <c r="O85" s="4">
        <v>0.35</v>
      </c>
      <c r="P85" s="5">
        <v>4.92</v>
      </c>
      <c r="Q85" s="5">
        <v>5.01</v>
      </c>
      <c r="R85" s="5">
        <v>5.17</v>
      </c>
      <c r="S85" s="55">
        <v>22</v>
      </c>
      <c r="T85" s="53">
        <v>4.45</v>
      </c>
      <c r="U85" s="51">
        <v>0.28000000000000003</v>
      </c>
      <c r="V85" s="51">
        <v>4.6100000000000003</v>
      </c>
      <c r="W85" s="45">
        <v>1</v>
      </c>
      <c r="X85" s="11">
        <v>4.51</v>
      </c>
      <c r="Y85" s="4">
        <v>0.33</v>
      </c>
      <c r="Z85" s="5">
        <v>4.58</v>
      </c>
      <c r="AA85" s="5">
        <v>4.6100000000000003</v>
      </c>
      <c r="AB85" s="9">
        <v>4.8</v>
      </c>
      <c r="AC85" s="57">
        <v>986.29</v>
      </c>
      <c r="AD85" s="57">
        <v>1.8</v>
      </c>
      <c r="AE85" s="57">
        <v>986.49</v>
      </c>
      <c r="AF85" s="57">
        <v>985.64</v>
      </c>
      <c r="AG85" s="57">
        <v>984.83</v>
      </c>
      <c r="AH85" s="59">
        <v>1000</v>
      </c>
      <c r="AI85" s="11">
        <v>986.29</v>
      </c>
      <c r="AJ85" s="43">
        <v>1.8</v>
      </c>
    </row>
    <row r="86" spans="1:36" x14ac:dyDescent="0.3">
      <c r="A86" s="37" t="s">
        <v>110</v>
      </c>
      <c r="B86" s="14" t="s">
        <v>37</v>
      </c>
      <c r="C86" s="73" t="s">
        <v>81</v>
      </c>
      <c r="D86" s="75">
        <v>50</v>
      </c>
      <c r="E86" s="25">
        <v>726</v>
      </c>
      <c r="F86" s="25">
        <v>49</v>
      </c>
      <c r="G86" s="22">
        <f t="shared" si="1"/>
        <v>14.52</v>
      </c>
      <c r="H86" s="23">
        <v>36</v>
      </c>
      <c r="I86" s="24">
        <v>28</v>
      </c>
      <c r="J86" s="55">
        <v>50</v>
      </c>
      <c r="K86" s="53">
        <v>3.44</v>
      </c>
      <c r="L86" s="51">
        <v>0.28999999999999998</v>
      </c>
      <c r="M86" s="51">
        <v>3.7</v>
      </c>
      <c r="N86" s="16">
        <v>3.73</v>
      </c>
      <c r="O86" s="4">
        <v>0.2</v>
      </c>
      <c r="P86" s="5">
        <v>3.77</v>
      </c>
      <c r="Q86" s="5">
        <v>3.86</v>
      </c>
      <c r="R86" s="5">
        <v>3.93</v>
      </c>
      <c r="S86" s="55">
        <v>50</v>
      </c>
      <c r="T86" s="53">
        <v>3.2</v>
      </c>
      <c r="U86" s="51">
        <v>0.26</v>
      </c>
      <c r="V86" s="51">
        <v>3.44</v>
      </c>
      <c r="W86" s="45">
        <v>1</v>
      </c>
      <c r="X86" s="11">
        <v>3.47</v>
      </c>
      <c r="Y86" s="4">
        <v>0.18</v>
      </c>
      <c r="Z86" s="5">
        <v>3.51</v>
      </c>
      <c r="AA86" s="5">
        <v>3.57</v>
      </c>
      <c r="AB86" s="9">
        <v>3.64</v>
      </c>
      <c r="AC86" s="57">
        <v>991.14</v>
      </c>
      <c r="AD86" s="57">
        <v>0.64</v>
      </c>
      <c r="AE86" s="57">
        <v>990.95</v>
      </c>
      <c r="AF86" s="57">
        <v>990.68</v>
      </c>
      <c r="AG86" s="57">
        <v>990.56</v>
      </c>
      <c r="AH86" s="59">
        <v>1000</v>
      </c>
      <c r="AI86" s="11">
        <v>991.14</v>
      </c>
      <c r="AJ86" s="43">
        <v>0.64</v>
      </c>
    </row>
    <row r="87" spans="1:36" x14ac:dyDescent="0.3">
      <c r="A87" s="37" t="s">
        <v>110</v>
      </c>
      <c r="B87" s="14" t="s">
        <v>37</v>
      </c>
      <c r="C87" s="73" t="s">
        <v>82</v>
      </c>
      <c r="D87" s="75">
        <v>9</v>
      </c>
      <c r="E87" s="25">
        <v>218</v>
      </c>
      <c r="F87" s="25">
        <v>9</v>
      </c>
      <c r="G87" s="22">
        <f t="shared" si="1"/>
        <v>24.222222222222221</v>
      </c>
      <c r="H87" s="23" t="s">
        <v>134</v>
      </c>
      <c r="I87" s="24" t="s">
        <v>134</v>
      </c>
      <c r="J87" s="55">
        <v>9</v>
      </c>
      <c r="K87" s="53">
        <v>4.18</v>
      </c>
      <c r="L87" s="51">
        <v>0.13</v>
      </c>
      <c r="M87" s="51">
        <v>4.26</v>
      </c>
      <c r="N87" s="16">
        <v>4.18</v>
      </c>
      <c r="O87" s="4">
        <v>0.13</v>
      </c>
      <c r="P87" s="5">
        <v>4.0999999999999996</v>
      </c>
      <c r="Q87" s="5">
        <v>4.2300000000000004</v>
      </c>
      <c r="R87" s="5">
        <v>4.26</v>
      </c>
      <c r="S87" s="55">
        <v>9</v>
      </c>
      <c r="T87" s="53">
        <v>3.87</v>
      </c>
      <c r="U87" s="51">
        <v>0.11</v>
      </c>
      <c r="V87" s="51">
        <v>3.94</v>
      </c>
      <c r="W87" s="45">
        <v>1</v>
      </c>
      <c r="X87" s="11">
        <v>3.87</v>
      </c>
      <c r="Y87" s="4">
        <v>0.11</v>
      </c>
      <c r="Z87" s="5">
        <v>3.83</v>
      </c>
      <c r="AA87" s="5">
        <v>3.91</v>
      </c>
      <c r="AB87" s="9">
        <v>3.94</v>
      </c>
      <c r="AC87" s="57">
        <v>989.57</v>
      </c>
      <c r="AD87" s="57">
        <v>0.48</v>
      </c>
      <c r="AE87" s="57">
        <v>989.86</v>
      </c>
      <c r="AF87" s="57">
        <v>989.41</v>
      </c>
      <c r="AG87" s="57">
        <v>989.23</v>
      </c>
      <c r="AH87" s="59">
        <v>1000</v>
      </c>
      <c r="AI87" s="11">
        <v>989.57</v>
      </c>
      <c r="AJ87" s="43">
        <v>0.48</v>
      </c>
    </row>
    <row r="88" spans="1:36" x14ac:dyDescent="0.3">
      <c r="A88" s="37" t="s">
        <v>110</v>
      </c>
      <c r="B88" s="14" t="s">
        <v>37</v>
      </c>
      <c r="C88" s="73" t="s">
        <v>103</v>
      </c>
      <c r="D88" s="75">
        <v>6</v>
      </c>
      <c r="E88" s="25">
        <v>41</v>
      </c>
      <c r="F88" s="25">
        <v>6</v>
      </c>
      <c r="G88" s="22">
        <f t="shared" si="1"/>
        <v>6.833333333333333</v>
      </c>
      <c r="H88" s="23">
        <v>1</v>
      </c>
      <c r="I88" s="24">
        <v>1</v>
      </c>
      <c r="J88" s="55">
        <v>6</v>
      </c>
      <c r="K88" s="53">
        <v>3.84</v>
      </c>
      <c r="L88" s="51">
        <v>0.62</v>
      </c>
      <c r="M88" s="51">
        <v>4.33</v>
      </c>
      <c r="N88" s="16">
        <v>4.0599999999999996</v>
      </c>
      <c r="O88" s="4">
        <v>0.4</v>
      </c>
      <c r="P88" s="5">
        <v>4.18</v>
      </c>
      <c r="Q88" s="5">
        <v>4.24</v>
      </c>
      <c r="R88" s="5">
        <v>4.33</v>
      </c>
      <c r="S88" s="55">
        <v>6</v>
      </c>
      <c r="T88" s="53">
        <v>3.56</v>
      </c>
      <c r="U88" s="51">
        <v>0.56000000000000005</v>
      </c>
      <c r="V88" s="51">
        <v>3.99</v>
      </c>
      <c r="W88" s="45">
        <v>0.83333333333333337</v>
      </c>
      <c r="X88" s="11">
        <v>3.8</v>
      </c>
      <c r="Y88" s="4">
        <v>0.38</v>
      </c>
      <c r="Z88" s="5">
        <v>3.92</v>
      </c>
      <c r="AA88" s="5">
        <v>3.99</v>
      </c>
      <c r="AB88" s="9">
        <v>4.0199999999999996</v>
      </c>
      <c r="AC88" s="57">
        <v>989.83</v>
      </c>
      <c r="AD88" s="57">
        <v>1.45</v>
      </c>
      <c r="AE88" s="57">
        <v>989.31</v>
      </c>
      <c r="AF88" s="57">
        <v>989.23</v>
      </c>
      <c r="AG88" s="57">
        <v>988.89</v>
      </c>
      <c r="AH88" s="59">
        <v>1000</v>
      </c>
      <c r="AI88" s="11">
        <v>989.83</v>
      </c>
      <c r="AJ88" s="43">
        <v>1.45</v>
      </c>
    </row>
    <row r="89" spans="1:36" x14ac:dyDescent="0.3">
      <c r="A89" s="37" t="s">
        <v>110</v>
      </c>
      <c r="B89" s="14" t="s">
        <v>37</v>
      </c>
      <c r="C89" s="73" t="s">
        <v>104</v>
      </c>
      <c r="D89" s="75">
        <v>4</v>
      </c>
      <c r="E89" s="25">
        <v>26</v>
      </c>
      <c r="F89" s="25">
        <v>4</v>
      </c>
      <c r="G89" s="22">
        <f t="shared" si="1"/>
        <v>6.5</v>
      </c>
      <c r="H89" s="23">
        <v>3</v>
      </c>
      <c r="I89" s="24">
        <v>3</v>
      </c>
      <c r="J89" s="55">
        <v>5</v>
      </c>
      <c r="K89" s="53">
        <v>3.16</v>
      </c>
      <c r="L89" s="51">
        <v>0.62</v>
      </c>
      <c r="M89" s="51">
        <v>3.68</v>
      </c>
      <c r="N89" s="16">
        <v>4.0999999999999996</v>
      </c>
      <c r="O89" s="4">
        <v>0.53</v>
      </c>
      <c r="P89" s="5">
        <v>4.22</v>
      </c>
      <c r="Q89" s="5">
        <v>4.22</v>
      </c>
      <c r="R89" s="5">
        <v>4.43</v>
      </c>
      <c r="S89" s="55">
        <v>5</v>
      </c>
      <c r="T89" s="53">
        <v>2.94</v>
      </c>
      <c r="U89" s="51">
        <v>0.56000000000000005</v>
      </c>
      <c r="V89" s="51">
        <v>3.41</v>
      </c>
      <c r="W89" s="45">
        <v>1</v>
      </c>
      <c r="X89" s="11">
        <v>3.82</v>
      </c>
      <c r="Y89" s="4">
        <v>0.49</v>
      </c>
      <c r="Z89" s="5">
        <v>3.93</v>
      </c>
      <c r="AA89" s="5">
        <v>3.93</v>
      </c>
      <c r="AB89" s="9">
        <v>4.09</v>
      </c>
      <c r="AC89" s="57">
        <v>989.63</v>
      </c>
      <c r="AD89" s="57">
        <v>1.91</v>
      </c>
      <c r="AE89" s="57">
        <v>989.27</v>
      </c>
      <c r="AF89" s="57">
        <v>989.27</v>
      </c>
      <c r="AG89" s="57">
        <v>988.84</v>
      </c>
      <c r="AH89" s="59">
        <v>1000</v>
      </c>
      <c r="AI89" s="11">
        <v>989.63</v>
      </c>
      <c r="AJ89" s="43">
        <v>1.91</v>
      </c>
    </row>
    <row r="90" spans="1:36" x14ac:dyDescent="0.3">
      <c r="A90" s="37" t="s">
        <v>111</v>
      </c>
      <c r="B90" s="14" t="s">
        <v>9</v>
      </c>
      <c r="C90" s="73" t="s">
        <v>10</v>
      </c>
      <c r="D90" s="75">
        <v>38</v>
      </c>
      <c r="E90" s="25">
        <v>175</v>
      </c>
      <c r="F90" s="25">
        <v>37</v>
      </c>
      <c r="G90" s="22">
        <f t="shared" si="1"/>
        <v>4.6052631578947372</v>
      </c>
      <c r="H90" s="23">
        <v>21</v>
      </c>
      <c r="I90" s="24">
        <v>13</v>
      </c>
      <c r="J90" s="55">
        <v>38</v>
      </c>
      <c r="K90" s="53">
        <v>2.2799999999999998</v>
      </c>
      <c r="L90" s="51">
        <v>0.2</v>
      </c>
      <c r="M90" s="51">
        <v>2.54</v>
      </c>
      <c r="N90" s="16">
        <v>2.4</v>
      </c>
      <c r="O90" s="4">
        <v>0.27</v>
      </c>
      <c r="P90" s="5">
        <v>2.41</v>
      </c>
      <c r="Q90" s="5">
        <v>2.57</v>
      </c>
      <c r="R90" s="5">
        <v>2.7</v>
      </c>
      <c r="S90" s="55">
        <v>38</v>
      </c>
      <c r="T90" s="53">
        <v>2.15</v>
      </c>
      <c r="U90" s="51">
        <v>0.18</v>
      </c>
      <c r="V90" s="51">
        <v>2.39</v>
      </c>
      <c r="W90" s="45">
        <v>1</v>
      </c>
      <c r="X90" s="11">
        <v>2.2599999999999998</v>
      </c>
      <c r="Y90" s="4">
        <v>0.25</v>
      </c>
      <c r="Z90" s="5">
        <v>2.27</v>
      </c>
      <c r="AA90" s="5">
        <v>2.41</v>
      </c>
      <c r="AB90" s="9">
        <v>2.5299999999999998</v>
      </c>
      <c r="AC90" s="57">
        <v>995.49</v>
      </c>
      <c r="AD90" s="57">
        <v>0.88</v>
      </c>
      <c r="AE90" s="57">
        <v>995.48</v>
      </c>
      <c r="AF90" s="57">
        <v>994.96</v>
      </c>
      <c r="AG90" s="57">
        <v>994.54</v>
      </c>
      <c r="AH90" s="59">
        <v>1000</v>
      </c>
      <c r="AI90" s="11">
        <v>995.49</v>
      </c>
      <c r="AJ90" s="43">
        <v>0.88</v>
      </c>
    </row>
    <row r="91" spans="1:36" x14ac:dyDescent="0.3">
      <c r="A91" s="37" t="s">
        <v>111</v>
      </c>
      <c r="B91" s="14" t="s">
        <v>20</v>
      </c>
      <c r="C91" s="73" t="s">
        <v>44</v>
      </c>
      <c r="D91" s="75">
        <v>17</v>
      </c>
      <c r="E91" s="25">
        <v>140</v>
      </c>
      <c r="F91" s="25">
        <v>17</v>
      </c>
      <c r="G91" s="22">
        <f t="shared" si="1"/>
        <v>8.235294117647058</v>
      </c>
      <c r="H91" s="23">
        <v>7</v>
      </c>
      <c r="I91" s="24">
        <v>4</v>
      </c>
      <c r="J91" s="55">
        <v>17</v>
      </c>
      <c r="K91" s="53">
        <v>1.42</v>
      </c>
      <c r="L91" s="51">
        <v>0.12</v>
      </c>
      <c r="M91" s="51">
        <v>1.51</v>
      </c>
      <c r="N91" s="16">
        <v>1.45</v>
      </c>
      <c r="O91" s="4">
        <v>0.13</v>
      </c>
      <c r="P91" s="5">
        <v>1.47</v>
      </c>
      <c r="Q91" s="5">
        <v>1.51</v>
      </c>
      <c r="R91" s="5">
        <v>1.55</v>
      </c>
      <c r="S91" s="55">
        <v>17</v>
      </c>
      <c r="T91" s="53">
        <v>1.38</v>
      </c>
      <c r="U91" s="51">
        <v>0.11</v>
      </c>
      <c r="V91" s="51">
        <v>1.46</v>
      </c>
      <c r="W91" s="45">
        <v>0.94117647058823528</v>
      </c>
      <c r="X91" s="11">
        <v>1.41</v>
      </c>
      <c r="Y91" s="4">
        <v>0.12</v>
      </c>
      <c r="Z91" s="5">
        <v>1.42</v>
      </c>
      <c r="AA91" s="5">
        <v>1.46</v>
      </c>
      <c r="AB91" s="9">
        <v>1.49</v>
      </c>
      <c r="AC91" s="57">
        <v>998.55</v>
      </c>
      <c r="AD91" s="57">
        <v>0.43</v>
      </c>
      <c r="AE91" s="57">
        <v>998.49</v>
      </c>
      <c r="AF91" s="57">
        <v>998.36</v>
      </c>
      <c r="AG91" s="57">
        <v>998.24</v>
      </c>
      <c r="AH91" s="59">
        <v>1000</v>
      </c>
      <c r="AI91" s="11">
        <v>998.55</v>
      </c>
      <c r="AJ91" s="43">
        <v>0.43</v>
      </c>
    </row>
    <row r="92" spans="1:36" x14ac:dyDescent="0.3">
      <c r="A92" s="37" t="s">
        <v>111</v>
      </c>
      <c r="B92" s="14" t="s">
        <v>21</v>
      </c>
      <c r="C92" s="73" t="s">
        <v>45</v>
      </c>
      <c r="D92" s="75">
        <v>7</v>
      </c>
      <c r="E92" s="25">
        <v>61</v>
      </c>
      <c r="F92" s="25">
        <v>7</v>
      </c>
      <c r="G92" s="22">
        <f t="shared" si="1"/>
        <v>8.7142857142857135</v>
      </c>
      <c r="H92" s="23">
        <v>7</v>
      </c>
      <c r="I92" s="24">
        <v>5</v>
      </c>
      <c r="J92" s="55">
        <v>7</v>
      </c>
      <c r="K92" s="53">
        <v>1.1200000000000001</v>
      </c>
      <c r="L92" s="51">
        <v>0.06</v>
      </c>
      <c r="M92" s="51">
        <v>1.1599999999999999</v>
      </c>
      <c r="N92" s="16">
        <v>1.28</v>
      </c>
      <c r="O92" s="4">
        <v>7.0000000000000007E-2</v>
      </c>
      <c r="P92" s="5">
        <v>1.29</v>
      </c>
      <c r="Q92" s="5">
        <v>1.3</v>
      </c>
      <c r="R92" s="5">
        <v>1.32</v>
      </c>
      <c r="S92" s="55">
        <v>7</v>
      </c>
      <c r="T92" s="53">
        <v>1.1100000000000001</v>
      </c>
      <c r="U92" s="51">
        <v>0.05</v>
      </c>
      <c r="V92" s="51">
        <v>1.1499999999999999</v>
      </c>
      <c r="W92" s="45">
        <v>1</v>
      </c>
      <c r="X92" s="11">
        <v>1.25</v>
      </c>
      <c r="Y92" s="4">
        <v>7.0000000000000007E-2</v>
      </c>
      <c r="Z92" s="5">
        <v>1.26</v>
      </c>
      <c r="AA92" s="5">
        <v>1.27</v>
      </c>
      <c r="AB92" s="9">
        <v>1.29</v>
      </c>
      <c r="AC92" s="57">
        <v>999.09</v>
      </c>
      <c r="AD92" s="57">
        <v>0.24</v>
      </c>
      <c r="AE92" s="57">
        <v>999.06</v>
      </c>
      <c r="AF92" s="57">
        <v>999.04</v>
      </c>
      <c r="AG92" s="57">
        <v>998.98</v>
      </c>
      <c r="AH92" s="59">
        <v>1000</v>
      </c>
      <c r="AI92" s="11">
        <v>999.09</v>
      </c>
      <c r="AJ92" s="43">
        <v>0.24</v>
      </c>
    </row>
    <row r="93" spans="1:36" x14ac:dyDescent="0.3">
      <c r="A93" s="37" t="s">
        <v>111</v>
      </c>
      <c r="B93" s="14" t="s">
        <v>25</v>
      </c>
      <c r="C93" s="73" t="s">
        <v>64</v>
      </c>
      <c r="D93" s="75">
        <v>45</v>
      </c>
      <c r="E93" s="25">
        <v>452</v>
      </c>
      <c r="F93" s="25">
        <v>45</v>
      </c>
      <c r="G93" s="22">
        <f t="shared" si="1"/>
        <v>10.044444444444444</v>
      </c>
      <c r="H93" s="23">
        <v>5</v>
      </c>
      <c r="I93" s="24">
        <v>5</v>
      </c>
      <c r="J93" s="55">
        <v>45</v>
      </c>
      <c r="K93" s="53">
        <v>1.43</v>
      </c>
      <c r="L93" s="51">
        <v>0.27</v>
      </c>
      <c r="M93" s="51">
        <v>1.76</v>
      </c>
      <c r="N93" s="16">
        <v>1.56</v>
      </c>
      <c r="O93" s="4">
        <v>0.37</v>
      </c>
      <c r="P93" s="5">
        <v>1.41</v>
      </c>
      <c r="Q93" s="5">
        <v>1.65</v>
      </c>
      <c r="R93" s="5">
        <v>2</v>
      </c>
      <c r="S93" s="55">
        <v>45</v>
      </c>
      <c r="T93" s="53">
        <v>1.39</v>
      </c>
      <c r="U93" s="51">
        <v>0.25</v>
      </c>
      <c r="V93" s="51">
        <v>1.68</v>
      </c>
      <c r="W93" s="45">
        <v>0.9555555555555556</v>
      </c>
      <c r="X93" s="11">
        <v>1.51</v>
      </c>
      <c r="Y93" s="4">
        <v>0.34</v>
      </c>
      <c r="Z93" s="5">
        <v>1.37</v>
      </c>
      <c r="AA93" s="5">
        <v>1.65</v>
      </c>
      <c r="AB93" s="9">
        <v>1.9</v>
      </c>
      <c r="AC93" s="57">
        <v>998.18</v>
      </c>
      <c r="AD93" s="57">
        <v>1.22</v>
      </c>
      <c r="AE93" s="57">
        <v>998.68</v>
      </c>
      <c r="AF93" s="57">
        <v>997.69</v>
      </c>
      <c r="AG93" s="57">
        <v>996.79</v>
      </c>
      <c r="AH93" s="59">
        <v>1000</v>
      </c>
      <c r="AI93" s="11">
        <v>998.18</v>
      </c>
      <c r="AJ93" s="43">
        <v>1.22</v>
      </c>
    </row>
    <row r="94" spans="1:36" x14ac:dyDescent="0.3">
      <c r="A94" s="37" t="s">
        <v>111</v>
      </c>
      <c r="B94" s="14" t="s">
        <v>32</v>
      </c>
      <c r="C94" s="73" t="s">
        <v>79</v>
      </c>
      <c r="D94" s="75">
        <v>18</v>
      </c>
      <c r="E94" s="25">
        <v>133</v>
      </c>
      <c r="F94" s="25">
        <v>18</v>
      </c>
      <c r="G94" s="22">
        <f t="shared" si="1"/>
        <v>7.3888888888888893</v>
      </c>
      <c r="H94" s="23">
        <v>18</v>
      </c>
      <c r="I94" s="24">
        <v>10</v>
      </c>
      <c r="J94" s="55">
        <v>18</v>
      </c>
      <c r="K94" s="53">
        <v>1.1399999999999999</v>
      </c>
      <c r="L94" s="51">
        <v>0.08</v>
      </c>
      <c r="M94" s="51">
        <v>1.22</v>
      </c>
      <c r="N94" s="16">
        <v>1.28</v>
      </c>
      <c r="O94" s="4">
        <v>0.13</v>
      </c>
      <c r="P94" s="5">
        <v>1.27</v>
      </c>
      <c r="Q94" s="5">
        <v>1.29</v>
      </c>
      <c r="R94" s="5">
        <v>1.43</v>
      </c>
      <c r="S94" s="55">
        <v>18</v>
      </c>
      <c r="T94" s="53">
        <v>1.1299999999999999</v>
      </c>
      <c r="U94" s="51">
        <v>0.08</v>
      </c>
      <c r="V94" s="51">
        <v>1.2</v>
      </c>
      <c r="W94" s="45">
        <v>0.94444444444444442</v>
      </c>
      <c r="X94" s="11">
        <v>1.25</v>
      </c>
      <c r="Y94" s="4">
        <v>0.12</v>
      </c>
      <c r="Z94" s="5">
        <v>1.25</v>
      </c>
      <c r="AA94" s="5">
        <v>1.26</v>
      </c>
      <c r="AB94" s="9">
        <v>1.39</v>
      </c>
      <c r="AC94" s="57">
        <v>999.1</v>
      </c>
      <c r="AD94" s="57">
        <v>0.42</v>
      </c>
      <c r="AE94" s="57">
        <v>999.12</v>
      </c>
      <c r="AF94" s="57">
        <v>999.06</v>
      </c>
      <c r="AG94" s="57">
        <v>998.61</v>
      </c>
      <c r="AH94" s="59">
        <v>1000</v>
      </c>
      <c r="AI94" s="11">
        <v>999.1</v>
      </c>
      <c r="AJ94" s="43">
        <v>0.42</v>
      </c>
    </row>
    <row r="95" spans="1:36" x14ac:dyDescent="0.3">
      <c r="A95" s="37" t="s">
        <v>34</v>
      </c>
      <c r="B95" s="14" t="s">
        <v>9</v>
      </c>
      <c r="C95" s="73" t="s">
        <v>10</v>
      </c>
      <c r="D95" s="75">
        <v>2</v>
      </c>
      <c r="E95" s="25">
        <v>14</v>
      </c>
      <c r="F95" s="25">
        <v>2</v>
      </c>
      <c r="G95" s="22">
        <f t="shared" si="1"/>
        <v>7</v>
      </c>
      <c r="H95" s="23" t="s">
        <v>134</v>
      </c>
      <c r="I95" s="24" t="s">
        <v>134</v>
      </c>
      <c r="J95" s="55">
        <v>2</v>
      </c>
      <c r="K95" s="53">
        <v>2.94</v>
      </c>
      <c r="L95" s="51" t="s">
        <v>125</v>
      </c>
      <c r="M95" s="51" t="s">
        <v>124</v>
      </c>
      <c r="N95" s="16">
        <v>2.94</v>
      </c>
      <c r="O95" s="4" t="s">
        <v>125</v>
      </c>
      <c r="P95" s="5" t="s">
        <v>124</v>
      </c>
      <c r="Q95" s="5" t="s">
        <v>124</v>
      </c>
      <c r="R95" s="5" t="s">
        <v>125</v>
      </c>
      <c r="S95" s="55">
        <v>2</v>
      </c>
      <c r="T95" s="53">
        <v>2.75</v>
      </c>
      <c r="U95" s="51" t="s">
        <v>124</v>
      </c>
      <c r="V95" s="51" t="s">
        <v>124</v>
      </c>
      <c r="W95" s="45">
        <v>1</v>
      </c>
      <c r="X95" s="11">
        <v>2.75</v>
      </c>
      <c r="Y95" s="4" t="s">
        <v>124</v>
      </c>
      <c r="Z95" s="5" t="s">
        <v>124</v>
      </c>
      <c r="AA95" s="5" t="s">
        <v>124</v>
      </c>
      <c r="AB95" s="9" t="s">
        <v>124</v>
      </c>
      <c r="AC95" s="57">
        <v>993.76</v>
      </c>
      <c r="AD95" s="57" t="s">
        <v>124</v>
      </c>
      <c r="AE95" s="57" t="s">
        <v>124</v>
      </c>
      <c r="AF95" s="57" t="s">
        <v>124</v>
      </c>
      <c r="AG95" s="57" t="s">
        <v>124</v>
      </c>
      <c r="AH95" s="59">
        <v>1000</v>
      </c>
      <c r="AI95" s="11">
        <v>993.76</v>
      </c>
      <c r="AJ95" s="43" t="s">
        <v>124</v>
      </c>
    </row>
    <row r="96" spans="1:36" x14ac:dyDescent="0.3">
      <c r="A96" s="37" t="s">
        <v>34</v>
      </c>
      <c r="B96" s="14" t="s">
        <v>21</v>
      </c>
      <c r="C96" s="73" t="s">
        <v>45</v>
      </c>
      <c r="D96" s="75">
        <v>1</v>
      </c>
      <c r="E96" s="25">
        <v>14</v>
      </c>
      <c r="F96" s="25">
        <v>1</v>
      </c>
      <c r="G96" s="22">
        <f t="shared" si="1"/>
        <v>14</v>
      </c>
      <c r="H96" s="23">
        <v>2</v>
      </c>
      <c r="I96" s="24">
        <v>1</v>
      </c>
      <c r="J96" s="55">
        <v>1</v>
      </c>
      <c r="K96" s="53" t="s">
        <v>99</v>
      </c>
      <c r="L96" s="53" t="s">
        <v>87</v>
      </c>
      <c r="M96" s="51" t="s">
        <v>99</v>
      </c>
      <c r="N96" s="16" t="s">
        <v>99</v>
      </c>
      <c r="O96" s="4" t="s">
        <v>87</v>
      </c>
      <c r="P96" s="5" t="s">
        <v>99</v>
      </c>
      <c r="Q96" s="5" t="s">
        <v>99</v>
      </c>
      <c r="R96" s="5" t="s">
        <v>99</v>
      </c>
      <c r="S96" s="55">
        <v>1</v>
      </c>
      <c r="T96" s="53" t="s">
        <v>99</v>
      </c>
      <c r="U96" s="53" t="s">
        <v>87</v>
      </c>
      <c r="V96" s="51" t="s">
        <v>99</v>
      </c>
      <c r="W96" s="45">
        <v>1</v>
      </c>
      <c r="X96" s="11" t="s">
        <v>99</v>
      </c>
      <c r="Y96" s="4" t="s">
        <v>87</v>
      </c>
      <c r="Z96" s="5" t="s">
        <v>99</v>
      </c>
      <c r="AA96" s="5" t="s">
        <v>99</v>
      </c>
      <c r="AB96" s="9" t="s">
        <v>99</v>
      </c>
      <c r="AC96" s="57" t="s">
        <v>99</v>
      </c>
      <c r="AD96" s="53" t="s">
        <v>87</v>
      </c>
      <c r="AE96" s="51" t="s">
        <v>99</v>
      </c>
      <c r="AF96" s="51" t="s">
        <v>99</v>
      </c>
      <c r="AG96" s="51" t="s">
        <v>99</v>
      </c>
      <c r="AH96" s="59">
        <v>1000</v>
      </c>
      <c r="AI96" s="11" t="s">
        <v>99</v>
      </c>
      <c r="AJ96" s="43" t="s">
        <v>99</v>
      </c>
    </row>
    <row r="97" spans="1:36" x14ac:dyDescent="0.3">
      <c r="A97" s="37" t="s">
        <v>34</v>
      </c>
      <c r="B97" s="14" t="s">
        <v>25</v>
      </c>
      <c r="C97" s="73" t="s">
        <v>64</v>
      </c>
      <c r="D97" s="75">
        <v>3</v>
      </c>
      <c r="E97" s="25">
        <v>23</v>
      </c>
      <c r="F97" s="25">
        <v>1</v>
      </c>
      <c r="G97" s="22">
        <f t="shared" si="1"/>
        <v>7.666666666666667</v>
      </c>
      <c r="H97" s="23" t="s">
        <v>134</v>
      </c>
      <c r="I97" s="24" t="s">
        <v>134</v>
      </c>
      <c r="J97" s="55">
        <v>1</v>
      </c>
      <c r="K97" s="53" t="s">
        <v>99</v>
      </c>
      <c r="L97" s="53" t="s">
        <v>87</v>
      </c>
      <c r="M97" s="51" t="s">
        <v>99</v>
      </c>
      <c r="N97" s="16" t="s">
        <v>99</v>
      </c>
      <c r="O97" s="4" t="s">
        <v>87</v>
      </c>
      <c r="P97" s="5" t="s">
        <v>99</v>
      </c>
      <c r="Q97" s="5" t="s">
        <v>99</v>
      </c>
      <c r="R97" s="5" t="s">
        <v>99</v>
      </c>
      <c r="S97" s="55">
        <v>1</v>
      </c>
      <c r="T97" s="53" t="s">
        <v>99</v>
      </c>
      <c r="U97" s="53" t="s">
        <v>87</v>
      </c>
      <c r="V97" s="51" t="s">
        <v>99</v>
      </c>
      <c r="W97" s="45">
        <v>1</v>
      </c>
      <c r="X97" s="11" t="s">
        <v>99</v>
      </c>
      <c r="Y97" s="4" t="s">
        <v>87</v>
      </c>
      <c r="Z97" s="5" t="s">
        <v>99</v>
      </c>
      <c r="AA97" s="5" t="s">
        <v>99</v>
      </c>
      <c r="AB97" s="9" t="s">
        <v>99</v>
      </c>
      <c r="AC97" s="57" t="s">
        <v>99</v>
      </c>
      <c r="AD97" s="53" t="s">
        <v>87</v>
      </c>
      <c r="AE97" s="51" t="s">
        <v>99</v>
      </c>
      <c r="AF97" s="51" t="s">
        <v>99</v>
      </c>
      <c r="AG97" s="51" t="s">
        <v>99</v>
      </c>
      <c r="AH97" s="59">
        <v>1000</v>
      </c>
      <c r="AI97" s="11" t="s">
        <v>99</v>
      </c>
      <c r="AJ97" s="43" t="s">
        <v>99</v>
      </c>
    </row>
    <row r="98" spans="1:36" x14ac:dyDescent="0.3">
      <c r="A98" s="37" t="s">
        <v>34</v>
      </c>
      <c r="B98" s="14" t="s">
        <v>32</v>
      </c>
      <c r="C98" s="73" t="s">
        <v>79</v>
      </c>
      <c r="D98" s="75">
        <v>1</v>
      </c>
      <c r="E98" s="25">
        <v>9</v>
      </c>
      <c r="F98" s="34">
        <v>0</v>
      </c>
      <c r="G98" s="22">
        <f t="shared" si="1"/>
        <v>9</v>
      </c>
      <c r="H98" s="23" t="s">
        <v>134</v>
      </c>
      <c r="I98" s="24" t="s">
        <v>134</v>
      </c>
      <c r="J98" s="55">
        <v>1</v>
      </c>
      <c r="K98" s="53" t="s">
        <v>99</v>
      </c>
      <c r="L98" s="53" t="s">
        <v>87</v>
      </c>
      <c r="M98" s="51" t="s">
        <v>99</v>
      </c>
      <c r="N98" s="16" t="s">
        <v>108</v>
      </c>
      <c r="O98" s="4" t="s">
        <v>107</v>
      </c>
      <c r="P98" s="5" t="s">
        <v>107</v>
      </c>
      <c r="Q98" s="5" t="s">
        <v>107</v>
      </c>
      <c r="R98" s="5" t="s">
        <v>107</v>
      </c>
      <c r="S98" s="55">
        <v>1</v>
      </c>
      <c r="T98" s="53" t="s">
        <v>99</v>
      </c>
      <c r="U98" s="53" t="s">
        <v>87</v>
      </c>
      <c r="V98" s="51" t="s">
        <v>99</v>
      </c>
      <c r="W98" s="45" t="s">
        <v>107</v>
      </c>
      <c r="X98" s="11" t="s">
        <v>107</v>
      </c>
      <c r="Y98" s="4" t="s">
        <v>107</v>
      </c>
      <c r="Z98" s="5" t="s">
        <v>107</v>
      </c>
      <c r="AA98" s="5" t="s">
        <v>107</v>
      </c>
      <c r="AB98" s="9" t="s">
        <v>107</v>
      </c>
      <c r="AC98" s="80" t="s">
        <v>108</v>
      </c>
      <c r="AD98" s="53" t="s">
        <v>107</v>
      </c>
      <c r="AE98" s="51" t="s">
        <v>107</v>
      </c>
      <c r="AF98" s="51" t="s">
        <v>107</v>
      </c>
      <c r="AG98" s="51" t="s">
        <v>107</v>
      </c>
      <c r="AH98" s="59">
        <v>1000</v>
      </c>
      <c r="AI98" s="12" t="s">
        <v>107</v>
      </c>
      <c r="AJ98" s="7" t="s">
        <v>107</v>
      </c>
    </row>
    <row r="99" spans="1:36" x14ac:dyDescent="0.3">
      <c r="A99" s="37" t="s">
        <v>112</v>
      </c>
      <c r="B99" s="14" t="s">
        <v>17</v>
      </c>
      <c r="C99" s="73" t="s">
        <v>42</v>
      </c>
      <c r="D99" s="75">
        <v>2</v>
      </c>
      <c r="E99" s="25">
        <v>17</v>
      </c>
      <c r="F99" s="25">
        <v>1</v>
      </c>
      <c r="G99" s="22">
        <f t="shared" si="1"/>
        <v>8.5</v>
      </c>
      <c r="H99" s="23">
        <v>5</v>
      </c>
      <c r="I99" s="24">
        <v>0</v>
      </c>
      <c r="J99" s="55">
        <v>2</v>
      </c>
      <c r="K99" s="53">
        <v>1.54</v>
      </c>
      <c r="L99" s="51" t="s">
        <v>125</v>
      </c>
      <c r="M99" s="51" t="s">
        <v>124</v>
      </c>
      <c r="N99" s="16" t="s">
        <v>99</v>
      </c>
      <c r="O99" s="4" t="s">
        <v>87</v>
      </c>
      <c r="P99" s="5" t="s">
        <v>99</v>
      </c>
      <c r="Q99" s="5" t="s">
        <v>99</v>
      </c>
      <c r="R99" s="5" t="s">
        <v>99</v>
      </c>
      <c r="S99" s="55">
        <v>2</v>
      </c>
      <c r="T99" s="53">
        <v>1.53</v>
      </c>
      <c r="U99" s="51" t="s">
        <v>124</v>
      </c>
      <c r="V99" s="51" t="s">
        <v>124</v>
      </c>
      <c r="W99" s="45">
        <v>0</v>
      </c>
      <c r="X99" s="11" t="s">
        <v>99</v>
      </c>
      <c r="Y99" s="4" t="s">
        <v>87</v>
      </c>
      <c r="Z99" s="5" t="s">
        <v>99</v>
      </c>
      <c r="AA99" s="5" t="s">
        <v>99</v>
      </c>
      <c r="AB99" s="9" t="s">
        <v>99</v>
      </c>
      <c r="AC99" s="57" t="s">
        <v>99</v>
      </c>
      <c r="AD99" s="53" t="s">
        <v>87</v>
      </c>
      <c r="AE99" s="51" t="s">
        <v>99</v>
      </c>
      <c r="AF99" s="51" t="s">
        <v>99</v>
      </c>
      <c r="AG99" s="51" t="s">
        <v>99</v>
      </c>
      <c r="AH99" s="60">
        <v>800</v>
      </c>
      <c r="AI99" s="11" t="s">
        <v>99</v>
      </c>
      <c r="AJ99" s="43" t="s">
        <v>99</v>
      </c>
    </row>
    <row r="100" spans="1:36" x14ac:dyDescent="0.3">
      <c r="A100" s="37" t="s">
        <v>112</v>
      </c>
      <c r="B100" s="14" t="s">
        <v>11</v>
      </c>
      <c r="C100" s="73" t="s">
        <v>12</v>
      </c>
      <c r="D100" s="75">
        <v>11</v>
      </c>
      <c r="E100" s="25">
        <v>69</v>
      </c>
      <c r="F100" s="25">
        <v>11</v>
      </c>
      <c r="G100" s="22">
        <f t="shared" si="1"/>
        <v>6.2727272727272725</v>
      </c>
      <c r="H100" s="23">
        <v>32</v>
      </c>
      <c r="I100" s="24">
        <v>9</v>
      </c>
      <c r="J100" s="55">
        <v>11</v>
      </c>
      <c r="K100" s="53">
        <v>2.27</v>
      </c>
      <c r="L100" s="51">
        <v>0.48</v>
      </c>
      <c r="M100" s="51">
        <v>2.69</v>
      </c>
      <c r="N100" s="16">
        <v>3.42</v>
      </c>
      <c r="O100" s="4">
        <v>0.53</v>
      </c>
      <c r="P100" s="5">
        <v>3.24</v>
      </c>
      <c r="Q100" s="5">
        <v>3.68</v>
      </c>
      <c r="R100" s="5">
        <v>3.9</v>
      </c>
      <c r="S100" s="55">
        <v>11</v>
      </c>
      <c r="T100" s="53">
        <v>2.2000000000000002</v>
      </c>
      <c r="U100" s="51">
        <v>0.44</v>
      </c>
      <c r="V100" s="51">
        <v>2.57</v>
      </c>
      <c r="W100" s="45">
        <v>0.90909090909090906</v>
      </c>
      <c r="X100" s="11">
        <v>3.21</v>
      </c>
      <c r="Y100" s="4">
        <v>0.47</v>
      </c>
      <c r="Z100" s="5">
        <v>3.02</v>
      </c>
      <c r="AA100" s="5">
        <v>3.41</v>
      </c>
      <c r="AB100" s="9">
        <v>3.75</v>
      </c>
      <c r="AC100" s="57">
        <v>793.61</v>
      </c>
      <c r="AD100" s="57">
        <v>1.38</v>
      </c>
      <c r="AE100" s="57">
        <v>794.24</v>
      </c>
      <c r="AF100" s="57">
        <v>792.98</v>
      </c>
      <c r="AG100" s="57">
        <v>792.04</v>
      </c>
      <c r="AH100" s="60">
        <v>800</v>
      </c>
      <c r="AI100" s="12">
        <v>993.41</v>
      </c>
      <c r="AJ100" s="7">
        <v>1.49</v>
      </c>
    </row>
    <row r="101" spans="1:36" x14ac:dyDescent="0.3">
      <c r="A101" s="37" t="s">
        <v>112</v>
      </c>
      <c r="B101" s="14" t="s">
        <v>11</v>
      </c>
      <c r="C101" s="73" t="s">
        <v>14</v>
      </c>
      <c r="D101" s="75">
        <v>4</v>
      </c>
      <c r="E101" s="25">
        <v>40</v>
      </c>
      <c r="F101" s="25">
        <v>3</v>
      </c>
      <c r="G101" s="22">
        <f t="shared" si="1"/>
        <v>10</v>
      </c>
      <c r="H101" s="23">
        <v>13</v>
      </c>
      <c r="I101" s="24">
        <v>2</v>
      </c>
      <c r="J101" s="55">
        <v>4</v>
      </c>
      <c r="K101" s="53">
        <v>2.2200000000000002</v>
      </c>
      <c r="L101" s="51">
        <v>0.37</v>
      </c>
      <c r="M101" s="51">
        <v>2.33</v>
      </c>
      <c r="N101" s="16">
        <v>2.57</v>
      </c>
      <c r="O101" s="4">
        <v>0.65</v>
      </c>
      <c r="P101" s="5" t="s">
        <v>127</v>
      </c>
      <c r="Q101" s="5" t="s">
        <v>126</v>
      </c>
      <c r="R101" s="5" t="s">
        <v>126</v>
      </c>
      <c r="S101" s="55">
        <v>4</v>
      </c>
      <c r="T101" s="53">
        <v>2.1</v>
      </c>
      <c r="U101" s="51">
        <v>0.33</v>
      </c>
      <c r="V101" s="51">
        <v>2.19</v>
      </c>
      <c r="W101" s="45">
        <v>1</v>
      </c>
      <c r="X101" s="11">
        <v>2.41</v>
      </c>
      <c r="Y101" s="4">
        <v>0.59</v>
      </c>
      <c r="Z101" s="5" t="s">
        <v>126</v>
      </c>
      <c r="AA101" s="5" t="s">
        <v>126</v>
      </c>
      <c r="AB101" s="9" t="s">
        <v>126</v>
      </c>
      <c r="AC101" s="57">
        <v>795.97</v>
      </c>
      <c r="AD101" s="57">
        <v>1.69</v>
      </c>
      <c r="AE101" s="57" t="s">
        <v>126</v>
      </c>
      <c r="AF101" s="57" t="s">
        <v>126</v>
      </c>
      <c r="AG101" s="57" t="s">
        <v>126</v>
      </c>
      <c r="AH101" s="60">
        <v>800</v>
      </c>
      <c r="AI101" s="12">
        <v>995.57</v>
      </c>
      <c r="AJ101" s="7">
        <v>1.64</v>
      </c>
    </row>
    <row r="102" spans="1:36" x14ac:dyDescent="0.3">
      <c r="A102" s="37" t="s">
        <v>112</v>
      </c>
      <c r="B102" s="14" t="s">
        <v>13</v>
      </c>
      <c r="C102" s="73" t="s">
        <v>18</v>
      </c>
      <c r="D102" s="75">
        <v>11</v>
      </c>
      <c r="E102" s="25">
        <v>71</v>
      </c>
      <c r="F102" s="25">
        <v>11</v>
      </c>
      <c r="G102" s="22">
        <f t="shared" si="1"/>
        <v>6.4545454545454541</v>
      </c>
      <c r="H102" s="23">
        <v>13</v>
      </c>
      <c r="I102" s="24">
        <v>6</v>
      </c>
      <c r="J102" s="55">
        <v>11</v>
      </c>
      <c r="K102" s="53">
        <v>2.4700000000000002</v>
      </c>
      <c r="L102" s="51">
        <v>0.25</v>
      </c>
      <c r="M102" s="51">
        <v>2.65</v>
      </c>
      <c r="N102" s="16">
        <v>2.9</v>
      </c>
      <c r="O102" s="4">
        <v>0.4</v>
      </c>
      <c r="P102" s="5">
        <v>2.86</v>
      </c>
      <c r="Q102" s="5">
        <v>3.05</v>
      </c>
      <c r="R102" s="5">
        <v>3.25</v>
      </c>
      <c r="S102" s="55">
        <v>11</v>
      </c>
      <c r="T102" s="53">
        <v>2.36</v>
      </c>
      <c r="U102" s="51">
        <v>0.24</v>
      </c>
      <c r="V102" s="51">
        <v>2.52</v>
      </c>
      <c r="W102" s="45">
        <v>0.63636363636363635</v>
      </c>
      <c r="X102" s="11">
        <v>2.79</v>
      </c>
      <c r="Y102" s="4">
        <v>0.38</v>
      </c>
      <c r="Z102" s="5">
        <v>2.67</v>
      </c>
      <c r="AA102" s="5">
        <v>3.05</v>
      </c>
      <c r="AB102" s="9">
        <v>3.1</v>
      </c>
      <c r="AC102" s="57">
        <v>794.86</v>
      </c>
      <c r="AD102" s="57">
        <v>1.1200000000000001</v>
      </c>
      <c r="AE102" s="57">
        <v>795.22</v>
      </c>
      <c r="AF102" s="57">
        <v>794.12</v>
      </c>
      <c r="AG102" s="57">
        <v>794.01</v>
      </c>
      <c r="AH102" s="60">
        <v>800</v>
      </c>
      <c r="AI102" s="12">
        <v>994.5</v>
      </c>
      <c r="AJ102" s="7">
        <v>1.17</v>
      </c>
    </row>
    <row r="103" spans="1:36" x14ac:dyDescent="0.3">
      <c r="A103" s="37" t="s">
        <v>112</v>
      </c>
      <c r="B103" s="14" t="s">
        <v>15</v>
      </c>
      <c r="C103" s="73" t="s">
        <v>24</v>
      </c>
      <c r="D103" s="75">
        <v>1</v>
      </c>
      <c r="E103" s="25">
        <v>9</v>
      </c>
      <c r="F103" s="34">
        <v>0</v>
      </c>
      <c r="G103" s="22">
        <f t="shared" si="1"/>
        <v>9</v>
      </c>
      <c r="H103" s="23">
        <v>4</v>
      </c>
      <c r="I103" s="24">
        <v>0</v>
      </c>
      <c r="J103" s="55">
        <v>1</v>
      </c>
      <c r="K103" s="53" t="s">
        <v>99</v>
      </c>
      <c r="L103" s="53" t="s">
        <v>87</v>
      </c>
      <c r="M103" s="51" t="s">
        <v>99</v>
      </c>
      <c r="N103" s="16" t="s">
        <v>108</v>
      </c>
      <c r="O103" s="4" t="s">
        <v>107</v>
      </c>
      <c r="P103" s="5" t="s">
        <v>107</v>
      </c>
      <c r="Q103" s="5" t="s">
        <v>107</v>
      </c>
      <c r="R103" s="5" t="s">
        <v>107</v>
      </c>
      <c r="S103" s="55">
        <v>1</v>
      </c>
      <c r="T103" s="53" t="s">
        <v>99</v>
      </c>
      <c r="U103" s="53" t="s">
        <v>87</v>
      </c>
      <c r="V103" s="51" t="s">
        <v>99</v>
      </c>
      <c r="W103" s="45" t="s">
        <v>107</v>
      </c>
      <c r="X103" s="11" t="s">
        <v>107</v>
      </c>
      <c r="Y103" s="4" t="s">
        <v>107</v>
      </c>
      <c r="Z103" s="5" t="s">
        <v>107</v>
      </c>
      <c r="AA103" s="5" t="s">
        <v>107</v>
      </c>
      <c r="AB103" s="9" t="s">
        <v>107</v>
      </c>
      <c r="AC103" s="57" t="s">
        <v>108</v>
      </c>
      <c r="AD103" s="53" t="s">
        <v>108</v>
      </c>
      <c r="AE103" s="51" t="s">
        <v>107</v>
      </c>
      <c r="AF103" s="51" t="s">
        <v>107</v>
      </c>
      <c r="AG103" s="51" t="s">
        <v>107</v>
      </c>
      <c r="AH103" s="60">
        <v>800</v>
      </c>
      <c r="AI103" s="12" t="s">
        <v>107</v>
      </c>
      <c r="AJ103" s="7" t="s">
        <v>107</v>
      </c>
    </row>
    <row r="104" spans="1:36" x14ac:dyDescent="0.3">
      <c r="A104" s="37" t="s">
        <v>112</v>
      </c>
      <c r="B104" s="14" t="s">
        <v>15</v>
      </c>
      <c r="C104" s="73" t="s">
        <v>26</v>
      </c>
      <c r="D104" s="75">
        <v>1</v>
      </c>
      <c r="E104" s="25">
        <v>6</v>
      </c>
      <c r="F104" s="25">
        <v>1</v>
      </c>
      <c r="G104" s="22">
        <f t="shared" si="1"/>
        <v>6</v>
      </c>
      <c r="H104" s="23">
        <v>4</v>
      </c>
      <c r="I104" s="24">
        <v>1</v>
      </c>
      <c r="J104" s="55">
        <v>1</v>
      </c>
      <c r="K104" s="53" t="s">
        <v>99</v>
      </c>
      <c r="L104" s="53" t="s">
        <v>87</v>
      </c>
      <c r="M104" s="51" t="s">
        <v>99</v>
      </c>
      <c r="N104" s="16" t="s">
        <v>99</v>
      </c>
      <c r="O104" s="4" t="s">
        <v>87</v>
      </c>
      <c r="P104" s="5" t="s">
        <v>99</v>
      </c>
      <c r="Q104" s="5" t="s">
        <v>99</v>
      </c>
      <c r="R104" s="5" t="s">
        <v>99</v>
      </c>
      <c r="S104" s="55">
        <v>1</v>
      </c>
      <c r="T104" s="53" t="s">
        <v>99</v>
      </c>
      <c r="U104" s="53" t="s">
        <v>87</v>
      </c>
      <c r="V104" s="51" t="s">
        <v>99</v>
      </c>
      <c r="W104" s="45">
        <v>1</v>
      </c>
      <c r="X104" s="11" t="s">
        <v>99</v>
      </c>
      <c r="Y104" s="4" t="s">
        <v>87</v>
      </c>
      <c r="Z104" s="5" t="s">
        <v>99</v>
      </c>
      <c r="AA104" s="5" t="s">
        <v>99</v>
      </c>
      <c r="AB104" s="9" t="s">
        <v>99</v>
      </c>
      <c r="AC104" s="57" t="s">
        <v>99</v>
      </c>
      <c r="AD104" s="53" t="s">
        <v>87</v>
      </c>
      <c r="AE104" s="51" t="s">
        <v>99</v>
      </c>
      <c r="AF104" s="51" t="s">
        <v>99</v>
      </c>
      <c r="AG104" s="51" t="s">
        <v>99</v>
      </c>
      <c r="AH104" s="60">
        <v>800</v>
      </c>
      <c r="AI104" s="11" t="s">
        <v>99</v>
      </c>
      <c r="AJ104" s="43" t="s">
        <v>99</v>
      </c>
    </row>
    <row r="105" spans="1:36" x14ac:dyDescent="0.3">
      <c r="A105" s="37" t="s">
        <v>112</v>
      </c>
      <c r="B105" s="14" t="s">
        <v>15</v>
      </c>
      <c r="C105" s="73" t="s">
        <v>29</v>
      </c>
      <c r="D105" s="75">
        <v>1</v>
      </c>
      <c r="E105" s="25">
        <v>8</v>
      </c>
      <c r="F105" s="25">
        <v>1</v>
      </c>
      <c r="G105" s="22">
        <f t="shared" si="1"/>
        <v>8</v>
      </c>
      <c r="H105" s="23" t="s">
        <v>134</v>
      </c>
      <c r="I105" s="24" t="s">
        <v>134</v>
      </c>
      <c r="J105" s="55">
        <v>1</v>
      </c>
      <c r="K105" s="53" t="s">
        <v>99</v>
      </c>
      <c r="L105" s="53" t="s">
        <v>87</v>
      </c>
      <c r="M105" s="51" t="s">
        <v>99</v>
      </c>
      <c r="N105" s="16" t="s">
        <v>99</v>
      </c>
      <c r="O105" s="4" t="s">
        <v>87</v>
      </c>
      <c r="P105" s="5" t="s">
        <v>99</v>
      </c>
      <c r="Q105" s="5" t="s">
        <v>99</v>
      </c>
      <c r="R105" s="5" t="s">
        <v>99</v>
      </c>
      <c r="S105" s="55">
        <v>1</v>
      </c>
      <c r="T105" s="53" t="s">
        <v>99</v>
      </c>
      <c r="U105" s="53" t="s">
        <v>87</v>
      </c>
      <c r="V105" s="51" t="s">
        <v>99</v>
      </c>
      <c r="W105" s="45">
        <v>1</v>
      </c>
      <c r="X105" s="11" t="s">
        <v>99</v>
      </c>
      <c r="Y105" s="4" t="s">
        <v>87</v>
      </c>
      <c r="Z105" s="5" t="s">
        <v>99</v>
      </c>
      <c r="AA105" s="5" t="s">
        <v>99</v>
      </c>
      <c r="AB105" s="9" t="s">
        <v>99</v>
      </c>
      <c r="AC105" s="57" t="s">
        <v>99</v>
      </c>
      <c r="AD105" s="53" t="s">
        <v>87</v>
      </c>
      <c r="AE105" s="51" t="s">
        <v>99</v>
      </c>
      <c r="AF105" s="51" t="s">
        <v>99</v>
      </c>
      <c r="AG105" s="51" t="s">
        <v>99</v>
      </c>
      <c r="AH105" s="60">
        <v>800</v>
      </c>
      <c r="AI105" s="11" t="s">
        <v>99</v>
      </c>
      <c r="AJ105" s="43" t="s">
        <v>99</v>
      </c>
    </row>
    <row r="106" spans="1:36" x14ac:dyDescent="0.3">
      <c r="A106" s="37" t="s">
        <v>112</v>
      </c>
      <c r="B106" s="14" t="s">
        <v>15</v>
      </c>
      <c r="C106" s="73" t="s">
        <v>31</v>
      </c>
      <c r="D106" s="75">
        <v>1</v>
      </c>
      <c r="E106" s="25">
        <v>4</v>
      </c>
      <c r="F106" s="25">
        <v>1</v>
      </c>
      <c r="G106" s="22">
        <f t="shared" si="1"/>
        <v>4</v>
      </c>
      <c r="H106" s="23" t="s">
        <v>134</v>
      </c>
      <c r="I106" s="24" t="s">
        <v>134</v>
      </c>
      <c r="J106" s="55">
        <v>1</v>
      </c>
      <c r="K106" s="53" t="s">
        <v>99</v>
      </c>
      <c r="L106" s="53" t="s">
        <v>87</v>
      </c>
      <c r="M106" s="51" t="s">
        <v>99</v>
      </c>
      <c r="N106" s="16" t="s">
        <v>99</v>
      </c>
      <c r="O106" s="4" t="s">
        <v>87</v>
      </c>
      <c r="P106" s="5" t="s">
        <v>99</v>
      </c>
      <c r="Q106" s="5" t="s">
        <v>99</v>
      </c>
      <c r="R106" s="5" t="s">
        <v>99</v>
      </c>
      <c r="S106" s="55">
        <v>1</v>
      </c>
      <c r="T106" s="53" t="s">
        <v>99</v>
      </c>
      <c r="U106" s="53" t="s">
        <v>87</v>
      </c>
      <c r="V106" s="51" t="s">
        <v>99</v>
      </c>
      <c r="W106" s="45">
        <v>1</v>
      </c>
      <c r="X106" s="11" t="s">
        <v>99</v>
      </c>
      <c r="Y106" s="4" t="s">
        <v>87</v>
      </c>
      <c r="Z106" s="5" t="s">
        <v>99</v>
      </c>
      <c r="AA106" s="5" t="s">
        <v>99</v>
      </c>
      <c r="AB106" s="9" t="s">
        <v>99</v>
      </c>
      <c r="AC106" s="57" t="s">
        <v>99</v>
      </c>
      <c r="AD106" s="53" t="s">
        <v>87</v>
      </c>
      <c r="AE106" s="51" t="s">
        <v>99</v>
      </c>
      <c r="AF106" s="51" t="s">
        <v>99</v>
      </c>
      <c r="AG106" s="51" t="s">
        <v>99</v>
      </c>
      <c r="AH106" s="60">
        <v>800</v>
      </c>
      <c r="AI106" s="11" t="s">
        <v>99</v>
      </c>
      <c r="AJ106" s="43" t="s">
        <v>99</v>
      </c>
    </row>
    <row r="107" spans="1:36" x14ac:dyDescent="0.3">
      <c r="A107" s="37" t="s">
        <v>112</v>
      </c>
      <c r="B107" s="14" t="s">
        <v>15</v>
      </c>
      <c r="C107" s="73" t="s">
        <v>33</v>
      </c>
      <c r="D107" s="75">
        <v>3</v>
      </c>
      <c r="E107" s="25">
        <v>33</v>
      </c>
      <c r="F107" s="25">
        <v>2</v>
      </c>
      <c r="G107" s="22">
        <f t="shared" si="1"/>
        <v>11</v>
      </c>
      <c r="H107" s="23">
        <v>12</v>
      </c>
      <c r="I107" s="24">
        <v>1</v>
      </c>
      <c r="J107" s="55">
        <v>4</v>
      </c>
      <c r="K107" s="53">
        <v>2.39</v>
      </c>
      <c r="L107" s="51">
        <v>0.19</v>
      </c>
      <c r="M107" s="51">
        <v>2.44</v>
      </c>
      <c r="N107" s="16">
        <v>2.77</v>
      </c>
      <c r="O107" s="4" t="s">
        <v>125</v>
      </c>
      <c r="P107" s="5" t="s">
        <v>124</v>
      </c>
      <c r="Q107" s="5" t="s">
        <v>124</v>
      </c>
      <c r="R107" s="5" t="s">
        <v>125</v>
      </c>
      <c r="S107" s="55">
        <v>4</v>
      </c>
      <c r="T107" s="53">
        <v>2.25</v>
      </c>
      <c r="U107" s="51">
        <v>0.17</v>
      </c>
      <c r="V107" s="51">
        <v>2.29</v>
      </c>
      <c r="W107" s="45">
        <v>1</v>
      </c>
      <c r="X107" s="11">
        <v>2.6</v>
      </c>
      <c r="Y107" s="4" t="s">
        <v>124</v>
      </c>
      <c r="Z107" s="5" t="s">
        <v>124</v>
      </c>
      <c r="AA107" s="5" t="s">
        <v>124</v>
      </c>
      <c r="AB107" s="9" t="s">
        <v>124</v>
      </c>
      <c r="AC107" s="57">
        <v>795.44</v>
      </c>
      <c r="AD107" s="57" t="s">
        <v>124</v>
      </c>
      <c r="AE107" s="57" t="s">
        <v>124</v>
      </c>
      <c r="AF107" s="57" t="s">
        <v>124</v>
      </c>
      <c r="AG107" s="57" t="s">
        <v>124</v>
      </c>
      <c r="AH107" s="60">
        <v>800</v>
      </c>
      <c r="AI107" s="12">
        <v>995.37</v>
      </c>
      <c r="AJ107" s="43" t="s">
        <v>124</v>
      </c>
    </row>
    <row r="108" spans="1:36" x14ac:dyDescent="0.3">
      <c r="A108" s="37" t="s">
        <v>112</v>
      </c>
      <c r="B108" s="14" t="s">
        <v>15</v>
      </c>
      <c r="C108" s="73" t="s">
        <v>36</v>
      </c>
      <c r="D108" s="75">
        <v>2</v>
      </c>
      <c r="E108" s="25">
        <v>8</v>
      </c>
      <c r="F108" s="25">
        <v>2</v>
      </c>
      <c r="G108" s="22">
        <f t="shared" si="1"/>
        <v>4</v>
      </c>
      <c r="H108" s="23">
        <v>1</v>
      </c>
      <c r="I108" s="24">
        <v>1</v>
      </c>
      <c r="J108" s="55">
        <v>3</v>
      </c>
      <c r="K108" s="53">
        <v>3.7</v>
      </c>
      <c r="L108" s="51">
        <v>0.05</v>
      </c>
      <c r="M108" s="51" t="s">
        <v>127</v>
      </c>
      <c r="N108" s="16">
        <v>3.67</v>
      </c>
      <c r="O108" s="4" t="s">
        <v>125</v>
      </c>
      <c r="P108" s="5" t="s">
        <v>124</v>
      </c>
      <c r="Q108" s="5" t="s">
        <v>124</v>
      </c>
      <c r="R108" s="5" t="s">
        <v>125</v>
      </c>
      <c r="S108" s="55">
        <v>3</v>
      </c>
      <c r="T108" s="53">
        <v>3.43</v>
      </c>
      <c r="U108" s="51">
        <v>0.04</v>
      </c>
      <c r="V108" s="51" t="s">
        <v>127</v>
      </c>
      <c r="W108" s="45">
        <v>0.5</v>
      </c>
      <c r="X108" s="11">
        <v>3.53</v>
      </c>
      <c r="Y108" s="4" t="s">
        <v>124</v>
      </c>
      <c r="Z108" s="5" t="s">
        <v>124</v>
      </c>
      <c r="AA108" s="5" t="s">
        <v>124</v>
      </c>
      <c r="AB108" s="9" t="s">
        <v>124</v>
      </c>
      <c r="AC108" s="57">
        <v>792.78</v>
      </c>
      <c r="AD108" s="57" t="s">
        <v>124</v>
      </c>
      <c r="AE108" s="57" t="s">
        <v>124</v>
      </c>
      <c r="AF108" s="57" t="s">
        <v>124</v>
      </c>
      <c r="AG108" s="57" t="s">
        <v>124</v>
      </c>
      <c r="AH108" s="60">
        <v>800</v>
      </c>
      <c r="AI108" s="12">
        <v>992.41</v>
      </c>
      <c r="AJ108" s="43" t="s">
        <v>124</v>
      </c>
    </row>
    <row r="109" spans="1:36" x14ac:dyDescent="0.3">
      <c r="A109" s="37" t="s">
        <v>112</v>
      </c>
      <c r="B109" s="14" t="s">
        <v>15</v>
      </c>
      <c r="C109" s="73" t="s">
        <v>38</v>
      </c>
      <c r="D109" s="75">
        <v>1</v>
      </c>
      <c r="E109" s="25">
        <v>5</v>
      </c>
      <c r="F109" s="25">
        <v>1</v>
      </c>
      <c r="G109" s="22">
        <f t="shared" si="1"/>
        <v>5</v>
      </c>
      <c r="H109" s="23">
        <v>4</v>
      </c>
      <c r="I109" s="24">
        <v>1</v>
      </c>
      <c r="J109" s="55">
        <v>1</v>
      </c>
      <c r="K109" s="53" t="s">
        <v>99</v>
      </c>
      <c r="L109" s="53" t="s">
        <v>87</v>
      </c>
      <c r="M109" s="51" t="s">
        <v>99</v>
      </c>
      <c r="N109" s="16" t="s">
        <v>99</v>
      </c>
      <c r="O109" s="4" t="s">
        <v>87</v>
      </c>
      <c r="P109" s="5" t="s">
        <v>99</v>
      </c>
      <c r="Q109" s="5" t="s">
        <v>99</v>
      </c>
      <c r="R109" s="5" t="s">
        <v>99</v>
      </c>
      <c r="S109" s="55">
        <v>1</v>
      </c>
      <c r="T109" s="53" t="s">
        <v>99</v>
      </c>
      <c r="U109" s="53" t="s">
        <v>87</v>
      </c>
      <c r="V109" s="51" t="s">
        <v>99</v>
      </c>
      <c r="W109" s="45">
        <v>1</v>
      </c>
      <c r="X109" s="11" t="s">
        <v>99</v>
      </c>
      <c r="Y109" s="4" t="s">
        <v>87</v>
      </c>
      <c r="Z109" s="5" t="s">
        <v>99</v>
      </c>
      <c r="AA109" s="5" t="s">
        <v>99</v>
      </c>
      <c r="AB109" s="9" t="s">
        <v>99</v>
      </c>
      <c r="AC109" s="57" t="s">
        <v>99</v>
      </c>
      <c r="AD109" s="53" t="s">
        <v>87</v>
      </c>
      <c r="AE109" s="51" t="s">
        <v>99</v>
      </c>
      <c r="AF109" s="51" t="s">
        <v>99</v>
      </c>
      <c r="AG109" s="51" t="s">
        <v>99</v>
      </c>
      <c r="AH109" s="60">
        <v>800</v>
      </c>
      <c r="AI109" s="11" t="s">
        <v>99</v>
      </c>
      <c r="AJ109" s="43" t="s">
        <v>99</v>
      </c>
    </row>
    <row r="110" spans="1:36" x14ac:dyDescent="0.3">
      <c r="A110" s="37" t="s">
        <v>112</v>
      </c>
      <c r="B110" s="14" t="s">
        <v>16</v>
      </c>
      <c r="C110" s="73" t="s">
        <v>41</v>
      </c>
      <c r="D110" s="75">
        <v>5</v>
      </c>
      <c r="E110" s="25">
        <v>33</v>
      </c>
      <c r="F110" s="25">
        <v>5</v>
      </c>
      <c r="G110" s="22">
        <f t="shared" si="1"/>
        <v>6.6</v>
      </c>
      <c r="H110" s="23">
        <v>14</v>
      </c>
      <c r="I110" s="24">
        <v>4</v>
      </c>
      <c r="J110" s="55">
        <v>5</v>
      </c>
      <c r="K110" s="53">
        <v>2.4900000000000002</v>
      </c>
      <c r="L110" s="51">
        <v>0.23</v>
      </c>
      <c r="M110" s="51">
        <v>2.64</v>
      </c>
      <c r="N110" s="16">
        <v>3.34</v>
      </c>
      <c r="O110" s="4">
        <v>0.5</v>
      </c>
      <c r="P110" s="5">
        <v>3.18</v>
      </c>
      <c r="Q110" s="5">
        <v>3.43</v>
      </c>
      <c r="R110" s="5">
        <v>3.79</v>
      </c>
      <c r="S110" s="55">
        <v>5</v>
      </c>
      <c r="T110" s="53">
        <v>2.34</v>
      </c>
      <c r="U110" s="51">
        <v>0.21</v>
      </c>
      <c r="V110" s="51">
        <v>2.48</v>
      </c>
      <c r="W110" s="45">
        <v>1</v>
      </c>
      <c r="X110" s="11">
        <v>3.14</v>
      </c>
      <c r="Y110" s="4">
        <v>0.45</v>
      </c>
      <c r="Z110" s="5">
        <v>3.06</v>
      </c>
      <c r="AA110" s="5">
        <v>3.18</v>
      </c>
      <c r="AB110" s="9">
        <v>3.51</v>
      </c>
      <c r="AC110" s="57">
        <v>793.89</v>
      </c>
      <c r="AD110" s="57">
        <v>1.3</v>
      </c>
      <c r="AE110" s="57">
        <v>794.11</v>
      </c>
      <c r="AF110" s="57">
        <v>793.76</v>
      </c>
      <c r="AG110" s="57">
        <v>792.83</v>
      </c>
      <c r="AH110" s="60">
        <v>800</v>
      </c>
      <c r="AI110" s="12">
        <v>993.44</v>
      </c>
      <c r="AJ110" s="7">
        <v>1.19</v>
      </c>
    </row>
    <row r="111" spans="1:36" x14ac:dyDescent="0.3">
      <c r="A111" s="37" t="s">
        <v>112</v>
      </c>
      <c r="B111" s="14" t="s">
        <v>19</v>
      </c>
      <c r="C111" s="73" t="s">
        <v>43</v>
      </c>
      <c r="D111" s="75">
        <v>4</v>
      </c>
      <c r="E111" s="25">
        <v>19</v>
      </c>
      <c r="F111" s="25">
        <v>4</v>
      </c>
      <c r="G111" s="22">
        <f t="shared" si="1"/>
        <v>4.75</v>
      </c>
      <c r="H111" s="23">
        <v>7</v>
      </c>
      <c r="I111" s="24">
        <v>3</v>
      </c>
      <c r="J111" s="55">
        <v>4</v>
      </c>
      <c r="K111" s="53">
        <v>2.69</v>
      </c>
      <c r="L111" s="51">
        <v>0.94</v>
      </c>
      <c r="M111" s="51">
        <v>3.39</v>
      </c>
      <c r="N111" s="16">
        <v>3.86</v>
      </c>
      <c r="O111" s="4">
        <v>0.26</v>
      </c>
      <c r="P111" s="5">
        <v>3.62</v>
      </c>
      <c r="Q111" s="5">
        <v>3.62</v>
      </c>
      <c r="R111" s="5">
        <v>4.05</v>
      </c>
      <c r="S111" s="55">
        <v>4</v>
      </c>
      <c r="T111" s="53">
        <v>2.52</v>
      </c>
      <c r="U111" s="51">
        <v>0.84</v>
      </c>
      <c r="V111" s="51">
        <v>3.15</v>
      </c>
      <c r="W111" s="45">
        <v>0.75</v>
      </c>
      <c r="X111" s="11">
        <v>3.64</v>
      </c>
      <c r="Y111" s="4">
        <v>0.21</v>
      </c>
      <c r="Z111" s="5">
        <v>3.62</v>
      </c>
      <c r="AA111" s="5">
        <v>3.62</v>
      </c>
      <c r="AB111" s="9">
        <v>3.78</v>
      </c>
      <c r="AC111" s="57">
        <v>792.43</v>
      </c>
      <c r="AD111" s="57">
        <v>0.6</v>
      </c>
      <c r="AE111" s="57">
        <v>792.53</v>
      </c>
      <c r="AF111" s="57">
        <v>792.53</v>
      </c>
      <c r="AG111" s="57">
        <v>792.05</v>
      </c>
      <c r="AH111" s="60">
        <v>800</v>
      </c>
      <c r="AI111" s="12">
        <v>992.17</v>
      </c>
      <c r="AJ111" s="7">
        <v>0.72</v>
      </c>
    </row>
    <row r="112" spans="1:36" x14ac:dyDescent="0.3">
      <c r="A112" s="37" t="s">
        <v>112</v>
      </c>
      <c r="B112" s="14" t="s">
        <v>28</v>
      </c>
      <c r="C112" s="73" t="s">
        <v>65</v>
      </c>
      <c r="D112" s="75">
        <v>1</v>
      </c>
      <c r="E112" s="25">
        <v>5</v>
      </c>
      <c r="F112" s="25">
        <v>1</v>
      </c>
      <c r="G112" s="22">
        <f t="shared" si="1"/>
        <v>5</v>
      </c>
      <c r="H112" s="23">
        <v>1</v>
      </c>
      <c r="I112" s="24">
        <v>1</v>
      </c>
      <c r="J112" s="55">
        <v>1</v>
      </c>
      <c r="K112" s="53" t="s">
        <v>99</v>
      </c>
      <c r="L112" s="53" t="s">
        <v>87</v>
      </c>
      <c r="M112" s="51" t="s">
        <v>99</v>
      </c>
      <c r="N112" s="16" t="s">
        <v>99</v>
      </c>
      <c r="O112" s="4" t="s">
        <v>87</v>
      </c>
      <c r="P112" s="5" t="s">
        <v>99</v>
      </c>
      <c r="Q112" s="5" t="s">
        <v>99</v>
      </c>
      <c r="R112" s="5" t="s">
        <v>99</v>
      </c>
      <c r="S112" s="55">
        <v>1</v>
      </c>
      <c r="T112" s="53" t="s">
        <v>99</v>
      </c>
      <c r="U112" s="53" t="s">
        <v>87</v>
      </c>
      <c r="V112" s="51" t="s">
        <v>99</v>
      </c>
      <c r="W112" s="45">
        <v>1</v>
      </c>
      <c r="X112" s="11" t="s">
        <v>99</v>
      </c>
      <c r="Y112" s="4" t="s">
        <v>87</v>
      </c>
      <c r="Z112" s="5" t="s">
        <v>99</v>
      </c>
      <c r="AA112" s="5" t="s">
        <v>99</v>
      </c>
      <c r="AB112" s="9" t="s">
        <v>99</v>
      </c>
      <c r="AC112" s="57" t="s">
        <v>99</v>
      </c>
      <c r="AD112" s="53" t="s">
        <v>87</v>
      </c>
      <c r="AE112" s="51" t="s">
        <v>99</v>
      </c>
      <c r="AF112" s="51" t="s">
        <v>99</v>
      </c>
      <c r="AG112" s="51" t="s">
        <v>99</v>
      </c>
      <c r="AH112" s="60">
        <v>800</v>
      </c>
      <c r="AI112" s="11" t="s">
        <v>99</v>
      </c>
      <c r="AJ112" s="43" t="s">
        <v>99</v>
      </c>
    </row>
    <row r="113" spans="1:36" x14ac:dyDescent="0.3">
      <c r="A113" s="37" t="s">
        <v>112</v>
      </c>
      <c r="B113" s="14" t="s">
        <v>28</v>
      </c>
      <c r="C113" s="73" t="s">
        <v>66</v>
      </c>
      <c r="D113" s="75">
        <v>1</v>
      </c>
      <c r="E113" s="25">
        <v>10</v>
      </c>
      <c r="F113" s="25">
        <v>1</v>
      </c>
      <c r="G113" s="22">
        <f t="shared" si="1"/>
        <v>10</v>
      </c>
      <c r="H113" s="23" t="s">
        <v>134</v>
      </c>
      <c r="I113" s="24" t="s">
        <v>134</v>
      </c>
      <c r="J113" s="55">
        <v>1</v>
      </c>
      <c r="K113" s="53" t="s">
        <v>99</v>
      </c>
      <c r="L113" s="53" t="s">
        <v>87</v>
      </c>
      <c r="M113" s="51" t="s">
        <v>99</v>
      </c>
      <c r="N113" s="16" t="s">
        <v>99</v>
      </c>
      <c r="O113" s="4" t="s">
        <v>87</v>
      </c>
      <c r="P113" s="5" t="s">
        <v>99</v>
      </c>
      <c r="Q113" s="5" t="s">
        <v>99</v>
      </c>
      <c r="R113" s="5" t="s">
        <v>99</v>
      </c>
      <c r="S113" s="55">
        <v>1</v>
      </c>
      <c r="T113" s="53" t="s">
        <v>99</v>
      </c>
      <c r="U113" s="53" t="s">
        <v>87</v>
      </c>
      <c r="V113" s="51" t="s">
        <v>99</v>
      </c>
      <c r="W113" s="45">
        <v>0</v>
      </c>
      <c r="X113" s="11" t="s">
        <v>99</v>
      </c>
      <c r="Y113" s="4" t="s">
        <v>87</v>
      </c>
      <c r="Z113" s="5" t="s">
        <v>99</v>
      </c>
      <c r="AA113" s="5" t="s">
        <v>99</v>
      </c>
      <c r="AB113" s="9" t="s">
        <v>99</v>
      </c>
      <c r="AC113" s="57" t="s">
        <v>99</v>
      </c>
      <c r="AD113" s="53" t="s">
        <v>87</v>
      </c>
      <c r="AE113" s="51" t="s">
        <v>99</v>
      </c>
      <c r="AF113" s="51" t="s">
        <v>99</v>
      </c>
      <c r="AG113" s="51" t="s">
        <v>99</v>
      </c>
      <c r="AH113" s="60">
        <v>800</v>
      </c>
      <c r="AI113" s="11" t="s">
        <v>99</v>
      </c>
      <c r="AJ113" s="43" t="s">
        <v>99</v>
      </c>
    </row>
    <row r="114" spans="1:36" x14ac:dyDescent="0.3">
      <c r="A114" s="37" t="s">
        <v>112</v>
      </c>
      <c r="B114" s="14" t="s">
        <v>28</v>
      </c>
      <c r="C114" s="73" t="s">
        <v>67</v>
      </c>
      <c r="D114" s="75">
        <v>1</v>
      </c>
      <c r="E114" s="25">
        <v>8</v>
      </c>
      <c r="F114" s="25">
        <v>1</v>
      </c>
      <c r="G114" s="22">
        <f t="shared" si="1"/>
        <v>8</v>
      </c>
      <c r="H114" s="23" t="s">
        <v>134</v>
      </c>
      <c r="I114" s="24" t="s">
        <v>134</v>
      </c>
      <c r="J114" s="55">
        <v>1</v>
      </c>
      <c r="K114" s="53" t="s">
        <v>99</v>
      </c>
      <c r="L114" s="53" t="s">
        <v>87</v>
      </c>
      <c r="M114" s="51" t="s">
        <v>99</v>
      </c>
      <c r="N114" s="16" t="s">
        <v>99</v>
      </c>
      <c r="O114" s="4" t="s">
        <v>87</v>
      </c>
      <c r="P114" s="5" t="s">
        <v>99</v>
      </c>
      <c r="Q114" s="5" t="s">
        <v>99</v>
      </c>
      <c r="R114" s="5" t="s">
        <v>99</v>
      </c>
      <c r="S114" s="55">
        <v>1</v>
      </c>
      <c r="T114" s="53" t="s">
        <v>99</v>
      </c>
      <c r="U114" s="53" t="s">
        <v>87</v>
      </c>
      <c r="V114" s="51" t="s">
        <v>99</v>
      </c>
      <c r="W114" s="45">
        <v>0</v>
      </c>
      <c r="X114" s="11" t="s">
        <v>99</v>
      </c>
      <c r="Y114" s="4" t="s">
        <v>87</v>
      </c>
      <c r="Z114" s="5" t="s">
        <v>99</v>
      </c>
      <c r="AA114" s="5" t="s">
        <v>99</v>
      </c>
      <c r="AB114" s="9" t="s">
        <v>99</v>
      </c>
      <c r="AC114" s="57" t="s">
        <v>99</v>
      </c>
      <c r="AD114" s="53" t="s">
        <v>87</v>
      </c>
      <c r="AE114" s="51" t="s">
        <v>99</v>
      </c>
      <c r="AF114" s="51" t="s">
        <v>99</v>
      </c>
      <c r="AG114" s="51" t="s">
        <v>99</v>
      </c>
      <c r="AH114" s="60">
        <v>800</v>
      </c>
      <c r="AI114" s="11" t="s">
        <v>99</v>
      </c>
      <c r="AJ114" s="43" t="s">
        <v>99</v>
      </c>
    </row>
    <row r="115" spans="1:36" x14ac:dyDescent="0.3">
      <c r="A115" s="37" t="s">
        <v>112</v>
      </c>
      <c r="B115" s="14" t="s">
        <v>28</v>
      </c>
      <c r="C115" s="73" t="s">
        <v>69</v>
      </c>
      <c r="D115" s="75">
        <v>1</v>
      </c>
      <c r="E115" s="25">
        <v>5</v>
      </c>
      <c r="F115" s="25">
        <v>1</v>
      </c>
      <c r="G115" s="22">
        <f t="shared" si="1"/>
        <v>5</v>
      </c>
      <c r="H115" s="23" t="s">
        <v>134</v>
      </c>
      <c r="I115" s="24" t="s">
        <v>134</v>
      </c>
      <c r="J115" s="55">
        <v>1</v>
      </c>
      <c r="K115" s="53" t="s">
        <v>99</v>
      </c>
      <c r="L115" s="53" t="s">
        <v>87</v>
      </c>
      <c r="M115" s="51" t="s">
        <v>99</v>
      </c>
      <c r="N115" s="16" t="s">
        <v>99</v>
      </c>
      <c r="O115" s="4" t="s">
        <v>87</v>
      </c>
      <c r="P115" s="5" t="s">
        <v>99</v>
      </c>
      <c r="Q115" s="5" t="s">
        <v>99</v>
      </c>
      <c r="R115" s="5" t="s">
        <v>99</v>
      </c>
      <c r="S115" s="55">
        <v>1</v>
      </c>
      <c r="T115" s="53" t="s">
        <v>99</v>
      </c>
      <c r="U115" s="53" t="s">
        <v>87</v>
      </c>
      <c r="V115" s="51" t="s">
        <v>99</v>
      </c>
      <c r="W115" s="45">
        <v>1</v>
      </c>
      <c r="X115" s="11" t="s">
        <v>99</v>
      </c>
      <c r="Y115" s="4" t="s">
        <v>87</v>
      </c>
      <c r="Z115" s="5" t="s">
        <v>99</v>
      </c>
      <c r="AA115" s="5" t="s">
        <v>99</v>
      </c>
      <c r="AB115" s="9" t="s">
        <v>99</v>
      </c>
      <c r="AC115" s="57" t="s">
        <v>99</v>
      </c>
      <c r="AD115" s="53" t="s">
        <v>87</v>
      </c>
      <c r="AE115" s="51" t="s">
        <v>99</v>
      </c>
      <c r="AF115" s="51" t="s">
        <v>99</v>
      </c>
      <c r="AG115" s="51" t="s">
        <v>99</v>
      </c>
      <c r="AH115" s="60">
        <v>800</v>
      </c>
      <c r="AI115" s="11" t="s">
        <v>99</v>
      </c>
      <c r="AJ115" s="43" t="s">
        <v>99</v>
      </c>
    </row>
    <row r="116" spans="1:36" x14ac:dyDescent="0.3">
      <c r="A116" s="37" t="s">
        <v>112</v>
      </c>
      <c r="B116" s="14" t="s">
        <v>28</v>
      </c>
      <c r="C116" s="73" t="s">
        <v>70</v>
      </c>
      <c r="D116" s="75">
        <v>1</v>
      </c>
      <c r="E116" s="25">
        <v>7</v>
      </c>
      <c r="F116" s="25">
        <v>1</v>
      </c>
      <c r="G116" s="22">
        <f t="shared" si="1"/>
        <v>7</v>
      </c>
      <c r="H116" s="23" t="s">
        <v>134</v>
      </c>
      <c r="I116" s="24" t="s">
        <v>134</v>
      </c>
      <c r="J116" s="55">
        <v>2</v>
      </c>
      <c r="K116" s="53">
        <v>4.6900000000000004</v>
      </c>
      <c r="L116" s="51" t="s">
        <v>125</v>
      </c>
      <c r="M116" s="51" t="s">
        <v>124</v>
      </c>
      <c r="N116" s="16" t="s">
        <v>99</v>
      </c>
      <c r="O116" s="4" t="s">
        <v>87</v>
      </c>
      <c r="P116" s="5" t="s">
        <v>99</v>
      </c>
      <c r="Q116" s="5" t="s">
        <v>99</v>
      </c>
      <c r="R116" s="5" t="s">
        <v>99</v>
      </c>
      <c r="S116" s="55">
        <v>2</v>
      </c>
      <c r="T116" s="53">
        <v>4.32</v>
      </c>
      <c r="U116" s="51" t="s">
        <v>124</v>
      </c>
      <c r="V116" s="51" t="s">
        <v>124</v>
      </c>
      <c r="W116" s="45">
        <v>1</v>
      </c>
      <c r="X116" s="11" t="s">
        <v>99</v>
      </c>
      <c r="Y116" s="4" t="s">
        <v>87</v>
      </c>
      <c r="Z116" s="5" t="s">
        <v>99</v>
      </c>
      <c r="AA116" s="5" t="s">
        <v>99</v>
      </c>
      <c r="AB116" s="9" t="s">
        <v>99</v>
      </c>
      <c r="AC116" s="57" t="s">
        <v>99</v>
      </c>
      <c r="AD116" s="53" t="s">
        <v>87</v>
      </c>
      <c r="AE116" s="51" t="s">
        <v>99</v>
      </c>
      <c r="AF116" s="51" t="s">
        <v>99</v>
      </c>
      <c r="AG116" s="51" t="s">
        <v>99</v>
      </c>
      <c r="AH116" s="60">
        <v>800</v>
      </c>
      <c r="AI116" s="11" t="s">
        <v>99</v>
      </c>
      <c r="AJ116" s="43" t="s">
        <v>99</v>
      </c>
    </row>
    <row r="117" spans="1:36" x14ac:dyDescent="0.3">
      <c r="A117" s="37" t="s">
        <v>112</v>
      </c>
      <c r="B117" s="14" t="s">
        <v>28</v>
      </c>
      <c r="C117" s="73" t="s">
        <v>71</v>
      </c>
      <c r="D117" s="75">
        <v>1</v>
      </c>
      <c r="E117" s="25">
        <v>5</v>
      </c>
      <c r="F117" s="25">
        <v>1</v>
      </c>
      <c r="G117" s="22">
        <f t="shared" si="1"/>
        <v>5</v>
      </c>
      <c r="H117" s="23">
        <v>1</v>
      </c>
      <c r="I117" s="24">
        <v>1</v>
      </c>
      <c r="J117" s="55">
        <v>1</v>
      </c>
      <c r="K117" s="53" t="s">
        <v>99</v>
      </c>
      <c r="L117" s="53" t="s">
        <v>87</v>
      </c>
      <c r="M117" s="51" t="s">
        <v>99</v>
      </c>
      <c r="N117" s="16" t="s">
        <v>99</v>
      </c>
      <c r="O117" s="4" t="s">
        <v>87</v>
      </c>
      <c r="P117" s="5" t="s">
        <v>99</v>
      </c>
      <c r="Q117" s="5" t="s">
        <v>99</v>
      </c>
      <c r="R117" s="5" t="s">
        <v>99</v>
      </c>
      <c r="S117" s="55">
        <v>1</v>
      </c>
      <c r="T117" s="53" t="s">
        <v>99</v>
      </c>
      <c r="U117" s="53" t="s">
        <v>87</v>
      </c>
      <c r="V117" s="51" t="s">
        <v>99</v>
      </c>
      <c r="W117" s="45">
        <v>1</v>
      </c>
      <c r="X117" s="11" t="s">
        <v>99</v>
      </c>
      <c r="Y117" s="4" t="s">
        <v>87</v>
      </c>
      <c r="Z117" s="5" t="s">
        <v>99</v>
      </c>
      <c r="AA117" s="5" t="s">
        <v>99</v>
      </c>
      <c r="AB117" s="9" t="s">
        <v>99</v>
      </c>
      <c r="AC117" s="57" t="s">
        <v>99</v>
      </c>
      <c r="AD117" s="53" t="s">
        <v>87</v>
      </c>
      <c r="AE117" s="51" t="s">
        <v>99</v>
      </c>
      <c r="AF117" s="51" t="s">
        <v>99</v>
      </c>
      <c r="AG117" s="51" t="s">
        <v>99</v>
      </c>
      <c r="AH117" s="60">
        <v>800</v>
      </c>
      <c r="AI117" s="11" t="s">
        <v>99</v>
      </c>
      <c r="AJ117" s="43" t="s">
        <v>99</v>
      </c>
    </row>
    <row r="118" spans="1:36" x14ac:dyDescent="0.3">
      <c r="A118" s="37" t="s">
        <v>112</v>
      </c>
      <c r="B118" s="14" t="s">
        <v>28</v>
      </c>
      <c r="C118" s="73" t="s">
        <v>72</v>
      </c>
      <c r="D118" s="75">
        <v>1</v>
      </c>
      <c r="E118" s="25">
        <v>11</v>
      </c>
      <c r="F118" s="25">
        <v>1</v>
      </c>
      <c r="G118" s="22">
        <f t="shared" si="1"/>
        <v>11</v>
      </c>
      <c r="H118" s="23" t="s">
        <v>134</v>
      </c>
      <c r="I118" s="24" t="s">
        <v>134</v>
      </c>
      <c r="J118" s="55">
        <v>1</v>
      </c>
      <c r="K118" s="53" t="s">
        <v>99</v>
      </c>
      <c r="L118" s="53" t="s">
        <v>87</v>
      </c>
      <c r="M118" s="51" t="s">
        <v>99</v>
      </c>
      <c r="N118" s="16" t="s">
        <v>99</v>
      </c>
      <c r="O118" s="4" t="s">
        <v>87</v>
      </c>
      <c r="P118" s="5" t="s">
        <v>99</v>
      </c>
      <c r="Q118" s="5" t="s">
        <v>99</v>
      </c>
      <c r="R118" s="5" t="s">
        <v>99</v>
      </c>
      <c r="S118" s="55">
        <v>1</v>
      </c>
      <c r="T118" s="53" t="s">
        <v>99</v>
      </c>
      <c r="U118" s="53" t="s">
        <v>87</v>
      </c>
      <c r="V118" s="51" t="s">
        <v>99</v>
      </c>
      <c r="W118" s="45">
        <v>1</v>
      </c>
      <c r="X118" s="11" t="s">
        <v>99</v>
      </c>
      <c r="Y118" s="4" t="s">
        <v>87</v>
      </c>
      <c r="Z118" s="5" t="s">
        <v>99</v>
      </c>
      <c r="AA118" s="5" t="s">
        <v>99</v>
      </c>
      <c r="AB118" s="9" t="s">
        <v>99</v>
      </c>
      <c r="AC118" s="57" t="s">
        <v>99</v>
      </c>
      <c r="AD118" s="53" t="s">
        <v>87</v>
      </c>
      <c r="AE118" s="51" t="s">
        <v>99</v>
      </c>
      <c r="AF118" s="51" t="s">
        <v>99</v>
      </c>
      <c r="AG118" s="51" t="s">
        <v>99</v>
      </c>
      <c r="AH118" s="60">
        <v>800</v>
      </c>
      <c r="AI118" s="11" t="s">
        <v>99</v>
      </c>
      <c r="AJ118" s="43" t="s">
        <v>99</v>
      </c>
    </row>
    <row r="119" spans="1:36" x14ac:dyDescent="0.3">
      <c r="A119" s="37" t="s">
        <v>112</v>
      </c>
      <c r="B119" s="14" t="s">
        <v>28</v>
      </c>
      <c r="C119" s="73" t="s">
        <v>73</v>
      </c>
      <c r="D119" s="75">
        <v>1</v>
      </c>
      <c r="E119" s="25">
        <v>6</v>
      </c>
      <c r="F119" s="25">
        <v>1</v>
      </c>
      <c r="G119" s="22">
        <f t="shared" si="1"/>
        <v>6</v>
      </c>
      <c r="H119" s="23" t="s">
        <v>134</v>
      </c>
      <c r="I119" s="24" t="s">
        <v>134</v>
      </c>
      <c r="J119" s="55">
        <v>1</v>
      </c>
      <c r="K119" s="53" t="s">
        <v>99</v>
      </c>
      <c r="L119" s="53" t="s">
        <v>87</v>
      </c>
      <c r="M119" s="51" t="s">
        <v>99</v>
      </c>
      <c r="N119" s="16" t="s">
        <v>99</v>
      </c>
      <c r="O119" s="4" t="s">
        <v>87</v>
      </c>
      <c r="P119" s="5" t="s">
        <v>99</v>
      </c>
      <c r="Q119" s="5" t="s">
        <v>99</v>
      </c>
      <c r="R119" s="5" t="s">
        <v>99</v>
      </c>
      <c r="S119" s="55">
        <v>1</v>
      </c>
      <c r="T119" s="53" t="s">
        <v>99</v>
      </c>
      <c r="U119" s="53" t="s">
        <v>87</v>
      </c>
      <c r="V119" s="51" t="s">
        <v>99</v>
      </c>
      <c r="W119" s="45">
        <v>1</v>
      </c>
      <c r="X119" s="11" t="s">
        <v>99</v>
      </c>
      <c r="Y119" s="4" t="s">
        <v>87</v>
      </c>
      <c r="Z119" s="5" t="s">
        <v>99</v>
      </c>
      <c r="AA119" s="5" t="s">
        <v>99</v>
      </c>
      <c r="AB119" s="9" t="s">
        <v>99</v>
      </c>
      <c r="AC119" s="57" t="s">
        <v>99</v>
      </c>
      <c r="AD119" s="53" t="s">
        <v>87</v>
      </c>
      <c r="AE119" s="51" t="s">
        <v>99</v>
      </c>
      <c r="AF119" s="51" t="s">
        <v>99</v>
      </c>
      <c r="AG119" s="51" t="s">
        <v>99</v>
      </c>
      <c r="AH119" s="60">
        <v>800</v>
      </c>
      <c r="AI119" s="11" t="s">
        <v>99</v>
      </c>
      <c r="AJ119" s="43" t="s">
        <v>99</v>
      </c>
    </row>
    <row r="120" spans="1:36" x14ac:dyDescent="0.3">
      <c r="A120" s="37" t="s">
        <v>112</v>
      </c>
      <c r="B120" s="14" t="s">
        <v>28</v>
      </c>
      <c r="C120" s="73" t="s">
        <v>74</v>
      </c>
      <c r="D120" s="75">
        <v>1</v>
      </c>
      <c r="E120" s="25">
        <v>5</v>
      </c>
      <c r="F120" s="34">
        <v>0</v>
      </c>
      <c r="G120" s="22">
        <f t="shared" si="1"/>
        <v>5</v>
      </c>
      <c r="H120" s="23" t="s">
        <v>134</v>
      </c>
      <c r="I120" s="24" t="s">
        <v>134</v>
      </c>
      <c r="J120" s="55">
        <v>1</v>
      </c>
      <c r="K120" s="53" t="s">
        <v>99</v>
      </c>
      <c r="L120" s="53" t="s">
        <v>87</v>
      </c>
      <c r="M120" s="51" t="s">
        <v>99</v>
      </c>
      <c r="N120" s="16" t="s">
        <v>108</v>
      </c>
      <c r="O120" s="4" t="s">
        <v>107</v>
      </c>
      <c r="P120" s="5" t="s">
        <v>107</v>
      </c>
      <c r="Q120" s="5" t="s">
        <v>107</v>
      </c>
      <c r="R120" s="5" t="s">
        <v>107</v>
      </c>
      <c r="S120" s="55">
        <v>1</v>
      </c>
      <c r="T120" s="53" t="s">
        <v>99</v>
      </c>
      <c r="U120" s="53" t="s">
        <v>87</v>
      </c>
      <c r="V120" s="51" t="s">
        <v>99</v>
      </c>
      <c r="W120" s="45" t="s">
        <v>107</v>
      </c>
      <c r="X120" s="11" t="s">
        <v>107</v>
      </c>
      <c r="Y120" s="4" t="s">
        <v>107</v>
      </c>
      <c r="Z120" s="5" t="s">
        <v>107</v>
      </c>
      <c r="AA120" s="5" t="s">
        <v>107</v>
      </c>
      <c r="AB120" s="9" t="s">
        <v>107</v>
      </c>
      <c r="AC120" s="80" t="s">
        <v>108</v>
      </c>
      <c r="AD120" s="53" t="s">
        <v>107</v>
      </c>
      <c r="AE120" s="51" t="s">
        <v>107</v>
      </c>
      <c r="AF120" s="51" t="s">
        <v>107</v>
      </c>
      <c r="AG120" s="51" t="s">
        <v>107</v>
      </c>
      <c r="AH120" s="60">
        <v>800</v>
      </c>
      <c r="AI120" s="12" t="s">
        <v>107</v>
      </c>
      <c r="AJ120" s="7" t="s">
        <v>107</v>
      </c>
    </row>
    <row r="121" spans="1:36" x14ac:dyDescent="0.3">
      <c r="A121" s="37" t="s">
        <v>112</v>
      </c>
      <c r="B121" s="14" t="s">
        <v>30</v>
      </c>
      <c r="C121" s="73" t="s">
        <v>77</v>
      </c>
      <c r="D121" s="75">
        <v>3</v>
      </c>
      <c r="E121" s="25">
        <v>26</v>
      </c>
      <c r="F121" s="25">
        <v>3</v>
      </c>
      <c r="G121" s="22">
        <f t="shared" si="1"/>
        <v>8.6666666666666661</v>
      </c>
      <c r="H121" s="23" t="s">
        <v>134</v>
      </c>
      <c r="I121" s="24" t="s">
        <v>134</v>
      </c>
      <c r="J121" s="55">
        <v>3</v>
      </c>
      <c r="K121" s="53">
        <v>3.8</v>
      </c>
      <c r="L121" s="51">
        <v>0.08</v>
      </c>
      <c r="M121" s="51" t="s">
        <v>127</v>
      </c>
      <c r="N121" s="16">
        <v>3.8</v>
      </c>
      <c r="O121" s="4">
        <v>0.08</v>
      </c>
      <c r="P121" s="5" t="s">
        <v>127</v>
      </c>
      <c r="Q121" s="5" t="s">
        <v>126</v>
      </c>
      <c r="R121" s="5" t="s">
        <v>126</v>
      </c>
      <c r="S121" s="55">
        <v>3</v>
      </c>
      <c r="T121" s="53">
        <v>3.52</v>
      </c>
      <c r="U121" s="51">
        <v>7.0000000000000007E-2</v>
      </c>
      <c r="V121" s="51" t="s">
        <v>127</v>
      </c>
      <c r="W121" s="45">
        <v>1</v>
      </c>
      <c r="X121" s="11">
        <v>3.52</v>
      </c>
      <c r="Y121" s="4">
        <v>7.0000000000000007E-2</v>
      </c>
      <c r="Z121" s="5" t="s">
        <v>126</v>
      </c>
      <c r="AA121" s="5" t="s">
        <v>126</v>
      </c>
      <c r="AB121" s="9" t="s">
        <v>126</v>
      </c>
      <c r="AC121" s="57">
        <v>792.76</v>
      </c>
      <c r="AD121" s="57">
        <v>0.18</v>
      </c>
      <c r="AE121" s="57" t="s">
        <v>126</v>
      </c>
      <c r="AF121" s="57" t="s">
        <v>126</v>
      </c>
      <c r="AG121" s="57" t="s">
        <v>126</v>
      </c>
      <c r="AH121" s="60">
        <v>800</v>
      </c>
      <c r="AI121" s="12">
        <v>992.61</v>
      </c>
      <c r="AJ121" s="7">
        <v>0.19</v>
      </c>
    </row>
    <row r="122" spans="1:36" x14ac:dyDescent="0.3">
      <c r="A122" s="37" t="s">
        <v>112</v>
      </c>
      <c r="B122" s="14" t="s">
        <v>30</v>
      </c>
      <c r="C122" s="73" t="s">
        <v>78</v>
      </c>
      <c r="D122" s="75">
        <v>1</v>
      </c>
      <c r="E122" s="25">
        <v>8</v>
      </c>
      <c r="F122" s="25">
        <v>1</v>
      </c>
      <c r="G122" s="22">
        <f t="shared" si="1"/>
        <v>8</v>
      </c>
      <c r="H122" s="23" t="s">
        <v>134</v>
      </c>
      <c r="I122" s="24" t="s">
        <v>134</v>
      </c>
      <c r="J122" s="55">
        <v>1</v>
      </c>
      <c r="K122" s="53" t="s">
        <v>99</v>
      </c>
      <c r="L122" s="53" t="s">
        <v>87</v>
      </c>
      <c r="M122" s="51" t="s">
        <v>99</v>
      </c>
      <c r="N122" s="16" t="s">
        <v>99</v>
      </c>
      <c r="O122" s="4" t="s">
        <v>87</v>
      </c>
      <c r="P122" s="5" t="s">
        <v>99</v>
      </c>
      <c r="Q122" s="5" t="s">
        <v>99</v>
      </c>
      <c r="R122" s="5" t="s">
        <v>99</v>
      </c>
      <c r="S122" s="55">
        <v>1</v>
      </c>
      <c r="T122" s="53" t="s">
        <v>99</v>
      </c>
      <c r="U122" s="53" t="s">
        <v>87</v>
      </c>
      <c r="V122" s="51" t="s">
        <v>99</v>
      </c>
      <c r="W122" s="45">
        <v>1</v>
      </c>
      <c r="X122" s="11" t="s">
        <v>99</v>
      </c>
      <c r="Y122" s="4" t="s">
        <v>87</v>
      </c>
      <c r="Z122" s="5" t="s">
        <v>99</v>
      </c>
      <c r="AA122" s="5" t="s">
        <v>99</v>
      </c>
      <c r="AB122" s="9" t="s">
        <v>99</v>
      </c>
      <c r="AC122" s="57" t="s">
        <v>99</v>
      </c>
      <c r="AD122" s="53" t="s">
        <v>87</v>
      </c>
      <c r="AE122" s="51" t="s">
        <v>99</v>
      </c>
      <c r="AF122" s="51" t="s">
        <v>99</v>
      </c>
      <c r="AG122" s="51" t="s">
        <v>99</v>
      </c>
      <c r="AH122" s="60">
        <v>800</v>
      </c>
      <c r="AI122" s="11" t="s">
        <v>99</v>
      </c>
      <c r="AJ122" s="43" t="s">
        <v>99</v>
      </c>
    </row>
    <row r="123" spans="1:36" ht="14.25" thickBot="1" x14ac:dyDescent="0.35">
      <c r="A123" s="38" t="s">
        <v>112</v>
      </c>
      <c r="B123" s="15" t="s">
        <v>35</v>
      </c>
      <c r="C123" s="74" t="s">
        <v>80</v>
      </c>
      <c r="D123" s="76">
        <v>2</v>
      </c>
      <c r="E123" s="27">
        <v>11</v>
      </c>
      <c r="F123" s="27">
        <v>2</v>
      </c>
      <c r="G123" s="39">
        <f t="shared" si="1"/>
        <v>5.5</v>
      </c>
      <c r="H123" s="39" t="s">
        <v>134</v>
      </c>
      <c r="I123" s="39" t="s">
        <v>134</v>
      </c>
      <c r="J123" s="56">
        <v>2</v>
      </c>
      <c r="K123" s="54">
        <v>4.46</v>
      </c>
      <c r="L123" s="52" t="s">
        <v>125</v>
      </c>
      <c r="M123" s="52" t="s">
        <v>124</v>
      </c>
      <c r="N123" s="17">
        <v>4.46</v>
      </c>
      <c r="O123" s="29" t="s">
        <v>125</v>
      </c>
      <c r="P123" s="6" t="s">
        <v>124</v>
      </c>
      <c r="Q123" s="6" t="s">
        <v>124</v>
      </c>
      <c r="R123" s="6" t="s">
        <v>125</v>
      </c>
      <c r="S123" s="56">
        <v>2</v>
      </c>
      <c r="T123" s="54">
        <v>4.1500000000000004</v>
      </c>
      <c r="U123" s="52" t="s">
        <v>124</v>
      </c>
      <c r="V123" s="52" t="s">
        <v>124</v>
      </c>
      <c r="W123" s="46">
        <v>1</v>
      </c>
      <c r="X123" s="42">
        <v>4.1500000000000004</v>
      </c>
      <c r="Y123" s="29" t="s">
        <v>124</v>
      </c>
      <c r="Z123" s="6" t="s">
        <v>124</v>
      </c>
      <c r="AA123" s="6" t="s">
        <v>124</v>
      </c>
      <c r="AB123" s="10" t="s">
        <v>124</v>
      </c>
      <c r="AC123" s="61">
        <v>790.85</v>
      </c>
      <c r="AD123" s="61" t="s">
        <v>124</v>
      </c>
      <c r="AE123" s="61" t="s">
        <v>124</v>
      </c>
      <c r="AF123" s="61" t="s">
        <v>124</v>
      </c>
      <c r="AG123" s="61" t="s">
        <v>124</v>
      </c>
      <c r="AH123" s="83">
        <v>800</v>
      </c>
      <c r="AI123" s="82">
        <v>990.55</v>
      </c>
      <c r="AJ123" s="84" t="s">
        <v>124</v>
      </c>
    </row>
  </sheetData>
  <autoFilter ref="A13:AJ123" xr:uid="{50EFE221-E273-49D6-86E9-5145F322EABF}"/>
  <mergeCells count="18">
    <mergeCell ref="D11:D13"/>
    <mergeCell ref="E11:E13"/>
    <mergeCell ref="F11:F13"/>
    <mergeCell ref="G11:G13"/>
    <mergeCell ref="A1:AJ1"/>
    <mergeCell ref="AI11:AJ12"/>
    <mergeCell ref="AC11:AH12"/>
    <mergeCell ref="W12:AB12"/>
    <mergeCell ref="S11:AB11"/>
    <mergeCell ref="H11:H13"/>
    <mergeCell ref="I11:I13"/>
    <mergeCell ref="S12:V12"/>
    <mergeCell ref="J11:R11"/>
    <mergeCell ref="J12:M12"/>
    <mergeCell ref="N12:R12"/>
    <mergeCell ref="A11:A13"/>
    <mergeCell ref="B11:B13"/>
    <mergeCell ref="C11:C13"/>
  </mergeCells>
  <phoneticPr fontId="1" type="noConversion"/>
  <pageMargins left="0.25" right="0.25" top="0.75" bottom="0.75" header="0.3" footer="0.3"/>
  <pageSetup paperSize="12" scale="6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C1AF-0E72-445B-BBB8-5B96A93FEA11}">
  <sheetPr>
    <tabColor rgb="FF0070C0"/>
    <pageSetUpPr fitToPage="1"/>
  </sheetPr>
  <dimension ref="A1:AM32"/>
  <sheetViews>
    <sheetView showGridLines="0" zoomScaleNormal="100" workbookViewId="0">
      <pane xSplit="7" ySplit="13" topLeftCell="H14" activePane="bottomRight" state="frozen"/>
      <selection pane="topRight" activeCell="I1" sqref="I1"/>
      <selection pane="bottomLeft" activeCell="A14" sqref="A14"/>
      <selection pane="bottomRight" activeCell="C20" sqref="C20"/>
    </sheetView>
  </sheetViews>
  <sheetFormatPr defaultRowHeight="13.5" x14ac:dyDescent="0.3"/>
  <cols>
    <col min="1" max="1" width="9.75" style="1" customWidth="1"/>
    <col min="2" max="2" width="9" style="1"/>
    <col min="3" max="3" width="29.375" style="1" bestFit="1" customWidth="1"/>
    <col min="4" max="10" width="6.625" style="1" customWidth="1"/>
    <col min="11" max="39" width="7.625" style="1" customWidth="1"/>
    <col min="40" max="16384" width="9" style="1"/>
  </cols>
  <sheetData>
    <row r="1" spans="1:39" ht="60" customHeight="1" x14ac:dyDescent="0.3">
      <c r="A1" s="85" t="s">
        <v>114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</row>
    <row r="2" spans="1:39" ht="20.100000000000001" customHeight="1" x14ac:dyDescent="0.3">
      <c r="A2" s="66" t="s">
        <v>97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</row>
    <row r="3" spans="1:39" ht="20.100000000000001" customHeight="1" x14ac:dyDescent="0.3">
      <c r="A3" s="66" t="s">
        <v>85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</row>
    <row r="4" spans="1:39" ht="20.100000000000001" customHeight="1" x14ac:dyDescent="0.3">
      <c r="A4" s="66" t="s">
        <v>86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</row>
    <row r="5" spans="1:39" ht="20.100000000000001" customHeight="1" x14ac:dyDescent="0.3">
      <c r="A5" s="66" t="s">
        <v>100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</row>
    <row r="6" spans="1:39" ht="20.100000000000001" customHeight="1" x14ac:dyDescent="0.3">
      <c r="A6" s="71" t="s">
        <v>135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</row>
    <row r="7" spans="1:39" ht="20.100000000000001" customHeight="1" x14ac:dyDescent="0.3">
      <c r="A7" s="66" t="s">
        <v>129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</row>
    <row r="8" spans="1:39" ht="20.100000000000001" customHeight="1" x14ac:dyDescent="0.3">
      <c r="A8" s="66" t="s">
        <v>101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</row>
    <row r="9" spans="1:39" ht="20.100000000000001" customHeight="1" x14ac:dyDescent="0.3">
      <c r="A9" s="66" t="s">
        <v>98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</row>
    <row r="10" spans="1:39" ht="14.25" customHeight="1" thickBo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9" ht="23.25" customHeight="1" x14ac:dyDescent="0.3">
      <c r="A11" s="114" t="s">
        <v>8</v>
      </c>
      <c r="B11" s="117" t="s">
        <v>0</v>
      </c>
      <c r="C11" s="117" t="s">
        <v>1</v>
      </c>
      <c r="D11" s="88" t="s">
        <v>116</v>
      </c>
      <c r="E11" s="88" t="s">
        <v>132</v>
      </c>
      <c r="F11" s="88" t="s">
        <v>131</v>
      </c>
      <c r="G11" s="88" t="s">
        <v>130</v>
      </c>
      <c r="H11" s="88" t="s">
        <v>133</v>
      </c>
      <c r="I11" s="104" t="s">
        <v>122</v>
      </c>
      <c r="J11" s="88" t="s">
        <v>121</v>
      </c>
      <c r="K11" s="108" t="s">
        <v>119</v>
      </c>
      <c r="L11" s="109"/>
      <c r="M11" s="109"/>
      <c r="N11" s="109"/>
      <c r="O11" s="109"/>
      <c r="P11" s="109"/>
      <c r="Q11" s="109"/>
      <c r="R11" s="109"/>
      <c r="S11" s="109"/>
      <c r="T11" s="101" t="s">
        <v>120</v>
      </c>
      <c r="U11" s="102"/>
      <c r="V11" s="102"/>
      <c r="W11" s="102"/>
      <c r="X11" s="102"/>
      <c r="Y11" s="102"/>
      <c r="Z11" s="102"/>
      <c r="AA11" s="102"/>
      <c r="AB11" s="102"/>
      <c r="AC11" s="103"/>
      <c r="AD11" s="94" t="s">
        <v>118</v>
      </c>
      <c r="AE11" s="94"/>
      <c r="AF11" s="94"/>
      <c r="AG11" s="94"/>
      <c r="AH11" s="94"/>
      <c r="AI11" s="95"/>
      <c r="AJ11" s="90" t="s">
        <v>115</v>
      </c>
      <c r="AK11" s="95"/>
      <c r="AL11" s="90" t="s">
        <v>109</v>
      </c>
      <c r="AM11" s="91"/>
    </row>
    <row r="12" spans="1:39" ht="23.25" customHeight="1" x14ac:dyDescent="0.3">
      <c r="A12" s="115"/>
      <c r="B12" s="118"/>
      <c r="C12" s="118"/>
      <c r="D12" s="87"/>
      <c r="E12" s="87"/>
      <c r="F12" s="87"/>
      <c r="G12" s="87"/>
      <c r="H12" s="87"/>
      <c r="I12" s="86"/>
      <c r="J12" s="87"/>
      <c r="K12" s="110" t="s">
        <v>90</v>
      </c>
      <c r="L12" s="111"/>
      <c r="M12" s="111"/>
      <c r="N12" s="111"/>
      <c r="O12" s="112" t="s">
        <v>92</v>
      </c>
      <c r="P12" s="113"/>
      <c r="Q12" s="113"/>
      <c r="R12" s="113"/>
      <c r="S12" s="113"/>
      <c r="T12" s="106" t="s">
        <v>90</v>
      </c>
      <c r="U12" s="107"/>
      <c r="V12" s="107"/>
      <c r="W12" s="107"/>
      <c r="X12" s="98" t="s">
        <v>92</v>
      </c>
      <c r="Y12" s="99"/>
      <c r="Z12" s="99"/>
      <c r="AA12" s="99"/>
      <c r="AB12" s="99"/>
      <c r="AC12" s="100"/>
      <c r="AD12" s="96"/>
      <c r="AE12" s="96"/>
      <c r="AF12" s="96"/>
      <c r="AG12" s="96"/>
      <c r="AH12" s="96"/>
      <c r="AI12" s="97"/>
      <c r="AJ12" s="123"/>
      <c r="AK12" s="97"/>
      <c r="AL12" s="92"/>
      <c r="AM12" s="93"/>
    </row>
    <row r="13" spans="1:39" s="2" customFormat="1" ht="41.25" thickBot="1" x14ac:dyDescent="0.35">
      <c r="A13" s="116"/>
      <c r="B13" s="119"/>
      <c r="C13" s="119"/>
      <c r="D13" s="89"/>
      <c r="E13" s="89"/>
      <c r="F13" s="89"/>
      <c r="G13" s="89"/>
      <c r="H13" s="89"/>
      <c r="I13" s="105"/>
      <c r="J13" s="89"/>
      <c r="K13" s="19" t="s">
        <v>106</v>
      </c>
      <c r="L13" s="19" t="s">
        <v>91</v>
      </c>
      <c r="M13" s="19" t="s">
        <v>95</v>
      </c>
      <c r="N13" s="19" t="s">
        <v>105</v>
      </c>
      <c r="O13" s="19" t="s">
        <v>7</v>
      </c>
      <c r="P13" s="19" t="s">
        <v>95</v>
      </c>
      <c r="Q13" s="19" t="s">
        <v>88</v>
      </c>
      <c r="R13" s="19" t="s">
        <v>89</v>
      </c>
      <c r="S13" s="19" t="s">
        <v>105</v>
      </c>
      <c r="T13" s="35" t="s">
        <v>106</v>
      </c>
      <c r="U13" s="35" t="s">
        <v>91</v>
      </c>
      <c r="V13" s="35" t="s">
        <v>95</v>
      </c>
      <c r="W13" s="35" t="s">
        <v>105</v>
      </c>
      <c r="X13" s="44" t="s">
        <v>123</v>
      </c>
      <c r="Y13" s="35" t="s">
        <v>7</v>
      </c>
      <c r="Z13" s="35" t="s">
        <v>95</v>
      </c>
      <c r="AA13" s="35" t="s">
        <v>88</v>
      </c>
      <c r="AB13" s="35" t="s">
        <v>89</v>
      </c>
      <c r="AC13" s="35" t="s">
        <v>105</v>
      </c>
      <c r="AD13" s="72" t="s">
        <v>7</v>
      </c>
      <c r="AE13" s="19" t="s">
        <v>95</v>
      </c>
      <c r="AF13" s="19" t="s">
        <v>88</v>
      </c>
      <c r="AG13" s="19" t="s">
        <v>89</v>
      </c>
      <c r="AH13" s="19" t="s">
        <v>105</v>
      </c>
      <c r="AI13" s="18" t="s">
        <v>84</v>
      </c>
      <c r="AJ13" s="18" t="s">
        <v>91</v>
      </c>
      <c r="AK13" s="18" t="s">
        <v>96</v>
      </c>
      <c r="AL13" s="20" t="s">
        <v>7</v>
      </c>
      <c r="AM13" s="8" t="s">
        <v>95</v>
      </c>
    </row>
    <row r="14" spans="1:39" ht="14.25" thickTop="1" x14ac:dyDescent="0.3">
      <c r="A14" s="37" t="s">
        <v>39</v>
      </c>
      <c r="B14" s="14" t="s">
        <v>23</v>
      </c>
      <c r="C14" s="77" t="s">
        <v>46</v>
      </c>
      <c r="D14" s="75">
        <v>5</v>
      </c>
      <c r="E14" s="25">
        <v>5</v>
      </c>
      <c r="F14" s="25">
        <v>7</v>
      </c>
      <c r="G14" s="25">
        <v>4</v>
      </c>
      <c r="H14" s="26">
        <f>F14/D14</f>
        <v>1.4</v>
      </c>
      <c r="I14" s="23" t="s">
        <v>134</v>
      </c>
      <c r="J14" s="24" t="s">
        <v>134</v>
      </c>
      <c r="K14" s="55">
        <v>6</v>
      </c>
      <c r="L14" s="53">
        <v>4.7300000000000004</v>
      </c>
      <c r="M14" s="51">
        <v>0.38</v>
      </c>
      <c r="N14" s="51">
        <v>4.9400000000000004</v>
      </c>
      <c r="O14" s="16">
        <v>4.8499999999999996</v>
      </c>
      <c r="P14" s="4">
        <v>0.38</v>
      </c>
      <c r="Q14" s="5">
        <v>4.6100000000000003</v>
      </c>
      <c r="R14" s="5">
        <v>4.6100000000000003</v>
      </c>
      <c r="S14" s="5">
        <v>4.9400000000000004</v>
      </c>
      <c r="T14" s="55">
        <v>6</v>
      </c>
      <c r="U14" s="53">
        <v>4.5199999999999996</v>
      </c>
      <c r="V14" s="51">
        <v>0.25</v>
      </c>
      <c r="W14" s="51">
        <v>4.6900000000000004</v>
      </c>
      <c r="X14" s="47">
        <v>0.75</v>
      </c>
      <c r="Y14" s="50">
        <v>4.62</v>
      </c>
      <c r="Z14" s="4">
        <v>0.25</v>
      </c>
      <c r="AA14" s="5">
        <v>4.43</v>
      </c>
      <c r="AB14" s="5">
        <v>4.43</v>
      </c>
      <c r="AC14" s="9">
        <v>4.6900000000000004</v>
      </c>
      <c r="AD14" s="57">
        <v>290.93</v>
      </c>
      <c r="AE14" s="57">
        <v>1.23</v>
      </c>
      <c r="AF14" s="57">
        <v>291.14</v>
      </c>
      <c r="AG14" s="57">
        <v>291.14</v>
      </c>
      <c r="AH14" s="57">
        <v>290.89999999999998</v>
      </c>
      <c r="AI14" s="58">
        <v>300</v>
      </c>
      <c r="AJ14" s="11">
        <v>659.75</v>
      </c>
      <c r="AK14" s="32">
        <v>700</v>
      </c>
      <c r="AL14" s="57">
        <v>950.68</v>
      </c>
      <c r="AM14" s="64">
        <v>23.27</v>
      </c>
    </row>
    <row r="15" spans="1:39" x14ac:dyDescent="0.3">
      <c r="A15" s="37" t="s">
        <v>39</v>
      </c>
      <c r="B15" s="14" t="s">
        <v>23</v>
      </c>
      <c r="C15" s="73" t="s">
        <v>47</v>
      </c>
      <c r="D15" s="75">
        <v>8</v>
      </c>
      <c r="E15" s="25">
        <v>3</v>
      </c>
      <c r="F15" s="25">
        <v>4</v>
      </c>
      <c r="G15" s="25">
        <v>3</v>
      </c>
      <c r="H15" s="26">
        <f t="shared" ref="H15:H32" si="0">F15/D15</f>
        <v>0.5</v>
      </c>
      <c r="I15" s="23" t="s">
        <v>134</v>
      </c>
      <c r="J15" s="24" t="s">
        <v>134</v>
      </c>
      <c r="K15" s="55">
        <v>4</v>
      </c>
      <c r="L15" s="53">
        <v>6.52</v>
      </c>
      <c r="M15" s="51">
        <v>0.24</v>
      </c>
      <c r="N15" s="51">
        <v>6.56</v>
      </c>
      <c r="O15" s="16">
        <v>6.51</v>
      </c>
      <c r="P15" s="4">
        <v>0.28000000000000003</v>
      </c>
      <c r="Q15" s="5" t="s">
        <v>127</v>
      </c>
      <c r="R15" s="5" t="s">
        <v>126</v>
      </c>
      <c r="S15" s="5" t="s">
        <v>126</v>
      </c>
      <c r="T15" s="55">
        <v>4</v>
      </c>
      <c r="U15" s="53">
        <v>6.18</v>
      </c>
      <c r="V15" s="51">
        <v>0.14000000000000001</v>
      </c>
      <c r="W15" s="51">
        <v>6.15</v>
      </c>
      <c r="X15" s="47">
        <v>0.66666666666666663</v>
      </c>
      <c r="Y15" s="5">
        <v>6.22</v>
      </c>
      <c r="Z15" s="4">
        <v>0.14000000000000001</v>
      </c>
      <c r="AA15" s="5" t="s">
        <v>126</v>
      </c>
      <c r="AB15" s="5" t="s">
        <v>126</v>
      </c>
      <c r="AC15" s="9" t="s">
        <v>126</v>
      </c>
      <c r="AD15" s="57">
        <v>281.41000000000003</v>
      </c>
      <c r="AE15" s="57">
        <v>2.31</v>
      </c>
      <c r="AF15" s="57" t="s">
        <v>126</v>
      </c>
      <c r="AG15" s="57" t="s">
        <v>126</v>
      </c>
      <c r="AH15" s="57" t="s">
        <v>126</v>
      </c>
      <c r="AI15" s="60">
        <v>300</v>
      </c>
      <c r="AJ15" s="11">
        <v>655.67</v>
      </c>
      <c r="AK15" s="33">
        <v>700</v>
      </c>
      <c r="AL15" s="57">
        <v>937.08</v>
      </c>
      <c r="AM15" s="64">
        <v>2.88</v>
      </c>
    </row>
    <row r="16" spans="1:39" x14ac:dyDescent="0.3">
      <c r="A16" s="37" t="s">
        <v>39</v>
      </c>
      <c r="B16" s="14" t="s">
        <v>23</v>
      </c>
      <c r="C16" s="73" t="s">
        <v>48</v>
      </c>
      <c r="D16" s="75">
        <v>8</v>
      </c>
      <c r="E16" s="25">
        <v>13</v>
      </c>
      <c r="F16" s="25">
        <v>19</v>
      </c>
      <c r="G16" s="25">
        <v>10</v>
      </c>
      <c r="H16" s="26">
        <f t="shared" si="0"/>
        <v>2.375</v>
      </c>
      <c r="I16" s="23">
        <v>5</v>
      </c>
      <c r="J16" s="24">
        <v>3</v>
      </c>
      <c r="K16" s="55">
        <v>11</v>
      </c>
      <c r="L16" s="53">
        <v>5.2</v>
      </c>
      <c r="M16" s="51">
        <v>0.96</v>
      </c>
      <c r="N16" s="51">
        <v>6.38</v>
      </c>
      <c r="O16" s="16">
        <v>5.47</v>
      </c>
      <c r="P16" s="4">
        <v>1.03</v>
      </c>
      <c r="Q16" s="5">
        <v>5.55</v>
      </c>
      <c r="R16" s="5">
        <v>6.58</v>
      </c>
      <c r="S16" s="5">
        <v>7.43</v>
      </c>
      <c r="T16" s="55">
        <v>11</v>
      </c>
      <c r="U16" s="53">
        <v>4.8899999999999997</v>
      </c>
      <c r="V16" s="51">
        <v>0.89</v>
      </c>
      <c r="W16" s="51">
        <v>5.9</v>
      </c>
      <c r="X16" s="47">
        <v>0.7</v>
      </c>
      <c r="Y16" s="5">
        <v>5.18</v>
      </c>
      <c r="Z16" s="4">
        <v>0.93</v>
      </c>
      <c r="AA16" s="5">
        <v>5.2</v>
      </c>
      <c r="AB16" s="5">
        <v>6.15</v>
      </c>
      <c r="AC16" s="9">
        <v>6.99</v>
      </c>
      <c r="AD16" s="57">
        <v>286.91000000000003</v>
      </c>
      <c r="AE16" s="57">
        <v>7.11</v>
      </c>
      <c r="AF16" s="57">
        <v>290.67</v>
      </c>
      <c r="AG16" s="57">
        <v>288.01</v>
      </c>
      <c r="AH16" s="57">
        <v>281.25</v>
      </c>
      <c r="AI16" s="60">
        <v>300</v>
      </c>
      <c r="AJ16" s="11">
        <v>596.63</v>
      </c>
      <c r="AK16" s="33">
        <v>700</v>
      </c>
      <c r="AL16" s="57">
        <v>883.54</v>
      </c>
      <c r="AM16" s="64">
        <v>40.75</v>
      </c>
    </row>
    <row r="17" spans="1:39" x14ac:dyDescent="0.3">
      <c r="A17" s="37" t="s">
        <v>39</v>
      </c>
      <c r="B17" s="14" t="s">
        <v>23</v>
      </c>
      <c r="C17" s="73" t="s">
        <v>49</v>
      </c>
      <c r="D17" s="75">
        <v>8</v>
      </c>
      <c r="E17" s="25">
        <v>8</v>
      </c>
      <c r="F17" s="25">
        <v>22</v>
      </c>
      <c r="G17" s="25">
        <v>7</v>
      </c>
      <c r="H17" s="26">
        <f t="shared" si="0"/>
        <v>2.75</v>
      </c>
      <c r="I17" s="23">
        <v>12</v>
      </c>
      <c r="J17" s="24">
        <v>4</v>
      </c>
      <c r="K17" s="55">
        <v>8</v>
      </c>
      <c r="L17" s="53">
        <v>5.29</v>
      </c>
      <c r="M17" s="51">
        <v>0.32</v>
      </c>
      <c r="N17" s="51">
        <v>5.45</v>
      </c>
      <c r="O17" s="16">
        <v>5.46</v>
      </c>
      <c r="P17" s="4">
        <v>0.76</v>
      </c>
      <c r="Q17" s="5">
        <v>5</v>
      </c>
      <c r="R17" s="5">
        <v>5.18</v>
      </c>
      <c r="S17" s="5">
        <v>5.8</v>
      </c>
      <c r="T17" s="55">
        <v>8</v>
      </c>
      <c r="U17" s="53">
        <v>5.04</v>
      </c>
      <c r="V17" s="51">
        <v>0.35</v>
      </c>
      <c r="W17" s="51">
        <v>5.07</v>
      </c>
      <c r="X17" s="47">
        <v>0.8571428571428571</v>
      </c>
      <c r="Y17" s="5">
        <v>5.18</v>
      </c>
      <c r="Z17" s="4">
        <v>0.69</v>
      </c>
      <c r="AA17" s="5">
        <v>4.76</v>
      </c>
      <c r="AB17" s="5">
        <v>5</v>
      </c>
      <c r="AC17" s="9">
        <v>5.42</v>
      </c>
      <c r="AD17" s="57">
        <v>288.02</v>
      </c>
      <c r="AE17" s="57">
        <v>4.07</v>
      </c>
      <c r="AF17" s="57">
        <v>290.38</v>
      </c>
      <c r="AG17" s="57">
        <v>290.13</v>
      </c>
      <c r="AH17" s="57">
        <v>285.93</v>
      </c>
      <c r="AI17" s="60">
        <v>300</v>
      </c>
      <c r="AJ17" s="11">
        <v>561</v>
      </c>
      <c r="AK17" s="33">
        <v>700</v>
      </c>
      <c r="AL17" s="57">
        <v>849.02</v>
      </c>
      <c r="AM17" s="64">
        <v>88.43</v>
      </c>
    </row>
    <row r="18" spans="1:39" x14ac:dyDescent="0.3">
      <c r="A18" s="37" t="s">
        <v>39</v>
      </c>
      <c r="B18" s="14" t="s">
        <v>23</v>
      </c>
      <c r="C18" s="73" t="s">
        <v>50</v>
      </c>
      <c r="D18" s="75">
        <v>8</v>
      </c>
      <c r="E18" s="25">
        <v>8</v>
      </c>
      <c r="F18" s="25">
        <v>54</v>
      </c>
      <c r="G18" s="25">
        <v>8</v>
      </c>
      <c r="H18" s="26">
        <f t="shared" si="0"/>
        <v>6.75</v>
      </c>
      <c r="I18" s="23">
        <v>10</v>
      </c>
      <c r="J18" s="24">
        <v>7</v>
      </c>
      <c r="K18" s="55">
        <v>8</v>
      </c>
      <c r="L18" s="53">
        <v>4.49</v>
      </c>
      <c r="M18" s="51">
        <v>1.38</v>
      </c>
      <c r="N18" s="51">
        <v>6.2</v>
      </c>
      <c r="O18" s="16">
        <v>5.96</v>
      </c>
      <c r="P18" s="4">
        <v>1.04</v>
      </c>
      <c r="Q18" s="5">
        <v>6.04</v>
      </c>
      <c r="R18" s="5">
        <v>6.15</v>
      </c>
      <c r="S18" s="5">
        <v>6.7</v>
      </c>
      <c r="T18" s="55">
        <v>8</v>
      </c>
      <c r="U18" s="53">
        <v>4.29</v>
      </c>
      <c r="V18" s="51">
        <v>1.38</v>
      </c>
      <c r="W18" s="51">
        <v>5.75</v>
      </c>
      <c r="X18" s="47">
        <v>0.75</v>
      </c>
      <c r="Y18" s="5">
        <v>5.67</v>
      </c>
      <c r="Z18" s="4">
        <v>1.07</v>
      </c>
      <c r="AA18" s="5">
        <v>5.64</v>
      </c>
      <c r="AB18" s="5">
        <v>5.7</v>
      </c>
      <c r="AC18" s="9">
        <v>6.7</v>
      </c>
      <c r="AD18" s="57">
        <v>284.38</v>
      </c>
      <c r="AE18" s="57">
        <v>6.93</v>
      </c>
      <c r="AF18" s="57">
        <v>285.3</v>
      </c>
      <c r="AG18" s="57">
        <v>284.69</v>
      </c>
      <c r="AH18" s="57">
        <v>278.72000000000003</v>
      </c>
      <c r="AI18" s="60">
        <v>300</v>
      </c>
      <c r="AJ18" s="11">
        <v>645.75</v>
      </c>
      <c r="AK18" s="33">
        <v>700</v>
      </c>
      <c r="AL18" s="57">
        <v>930.13</v>
      </c>
      <c r="AM18" s="64">
        <v>27.75</v>
      </c>
    </row>
    <row r="19" spans="1:39" x14ac:dyDescent="0.3">
      <c r="A19" s="37" t="s">
        <v>39</v>
      </c>
      <c r="B19" s="14" t="s">
        <v>23</v>
      </c>
      <c r="C19" s="73" t="s">
        <v>51</v>
      </c>
      <c r="D19" s="75">
        <v>7</v>
      </c>
      <c r="E19" s="25">
        <v>7</v>
      </c>
      <c r="F19" s="25">
        <v>47</v>
      </c>
      <c r="G19" s="25">
        <v>7</v>
      </c>
      <c r="H19" s="26">
        <f t="shared" si="0"/>
        <v>6.7142857142857144</v>
      </c>
      <c r="I19" s="23">
        <v>13</v>
      </c>
      <c r="J19" s="24">
        <v>6</v>
      </c>
      <c r="K19" s="55">
        <v>7</v>
      </c>
      <c r="L19" s="53">
        <v>5.41</v>
      </c>
      <c r="M19" s="51">
        <v>0.96</v>
      </c>
      <c r="N19" s="51">
        <v>5.77</v>
      </c>
      <c r="O19" s="16">
        <v>5.94</v>
      </c>
      <c r="P19" s="4">
        <v>1.1499999999999999</v>
      </c>
      <c r="Q19" s="5">
        <v>5.53</v>
      </c>
      <c r="R19" s="5">
        <v>6.03</v>
      </c>
      <c r="S19" s="5">
        <v>6.47</v>
      </c>
      <c r="T19" s="55">
        <v>7</v>
      </c>
      <c r="U19" s="53">
        <v>5.05</v>
      </c>
      <c r="V19" s="51">
        <v>0.92</v>
      </c>
      <c r="W19" s="51">
        <v>5.77</v>
      </c>
      <c r="X19" s="47">
        <v>1</v>
      </c>
      <c r="Y19" s="5">
        <v>5.56</v>
      </c>
      <c r="Z19" s="4">
        <v>1.1100000000000001</v>
      </c>
      <c r="AA19" s="5">
        <v>5.13</v>
      </c>
      <c r="AB19" s="5">
        <v>5.73</v>
      </c>
      <c r="AC19" s="9">
        <v>6.09</v>
      </c>
      <c r="AD19" s="57">
        <v>285.27</v>
      </c>
      <c r="AE19" s="57">
        <v>6.74</v>
      </c>
      <c r="AF19" s="57">
        <v>289.57</v>
      </c>
      <c r="AG19" s="57">
        <v>285.25</v>
      </c>
      <c r="AH19" s="57">
        <v>282.55</v>
      </c>
      <c r="AI19" s="60">
        <v>300</v>
      </c>
      <c r="AJ19" s="11">
        <v>613</v>
      </c>
      <c r="AK19" s="33">
        <v>700</v>
      </c>
      <c r="AL19" s="57">
        <v>898.27</v>
      </c>
      <c r="AM19" s="64">
        <v>30.37</v>
      </c>
    </row>
    <row r="20" spans="1:39" x14ac:dyDescent="0.3">
      <c r="A20" s="37" t="s">
        <v>39</v>
      </c>
      <c r="B20" s="14" t="s">
        <v>23</v>
      </c>
      <c r="C20" s="73" t="s">
        <v>52</v>
      </c>
      <c r="D20" s="75">
        <v>7</v>
      </c>
      <c r="E20" s="25">
        <v>7</v>
      </c>
      <c r="F20" s="25">
        <v>74</v>
      </c>
      <c r="G20" s="25">
        <v>7</v>
      </c>
      <c r="H20" s="26">
        <f t="shared" si="0"/>
        <v>10.571428571428571</v>
      </c>
      <c r="I20" s="23">
        <v>2</v>
      </c>
      <c r="J20" s="24">
        <v>2</v>
      </c>
      <c r="K20" s="55">
        <v>7</v>
      </c>
      <c r="L20" s="53">
        <v>5.25</v>
      </c>
      <c r="M20" s="51">
        <v>0.51</v>
      </c>
      <c r="N20" s="51">
        <v>5.34</v>
      </c>
      <c r="O20" s="16">
        <v>5.47</v>
      </c>
      <c r="P20" s="4">
        <v>0.38</v>
      </c>
      <c r="Q20" s="5">
        <v>5.28</v>
      </c>
      <c r="R20" s="5">
        <v>5.34</v>
      </c>
      <c r="S20" s="5">
        <v>5.83</v>
      </c>
      <c r="T20" s="55">
        <v>7</v>
      </c>
      <c r="U20" s="53">
        <v>4.9000000000000004</v>
      </c>
      <c r="V20" s="51">
        <v>0.49</v>
      </c>
      <c r="W20" s="51">
        <v>5.04</v>
      </c>
      <c r="X20" s="47">
        <v>1</v>
      </c>
      <c r="Y20" s="5">
        <v>5.1100000000000003</v>
      </c>
      <c r="Z20" s="4">
        <v>0.35</v>
      </c>
      <c r="AA20" s="5">
        <v>4.97</v>
      </c>
      <c r="AB20" s="5">
        <v>5.04</v>
      </c>
      <c r="AC20" s="9">
        <v>5.4</v>
      </c>
      <c r="AD20" s="57">
        <v>489.13</v>
      </c>
      <c r="AE20" s="57">
        <v>2.08</v>
      </c>
      <c r="AF20" s="57">
        <v>490.46</v>
      </c>
      <c r="AG20" s="57">
        <v>489.89</v>
      </c>
      <c r="AH20" s="57">
        <v>487.45</v>
      </c>
      <c r="AI20" s="62">
        <v>500</v>
      </c>
      <c r="AJ20" s="11">
        <v>467.86</v>
      </c>
      <c r="AK20" s="30">
        <v>500</v>
      </c>
      <c r="AL20" s="57">
        <v>956.99</v>
      </c>
      <c r="AM20" s="64">
        <v>15.01</v>
      </c>
    </row>
    <row r="21" spans="1:39" x14ac:dyDescent="0.3">
      <c r="A21" s="37" t="s">
        <v>39</v>
      </c>
      <c r="B21" s="14" t="s">
        <v>23</v>
      </c>
      <c r="C21" s="73" t="s">
        <v>53</v>
      </c>
      <c r="D21" s="75">
        <v>17</v>
      </c>
      <c r="E21" s="25">
        <v>17</v>
      </c>
      <c r="F21" s="25">
        <v>183</v>
      </c>
      <c r="G21" s="25">
        <v>17</v>
      </c>
      <c r="H21" s="26">
        <f t="shared" si="0"/>
        <v>10.764705882352942</v>
      </c>
      <c r="I21" s="23">
        <v>5</v>
      </c>
      <c r="J21" s="24">
        <v>5</v>
      </c>
      <c r="K21" s="55">
        <v>17</v>
      </c>
      <c r="L21" s="53">
        <v>5.18</v>
      </c>
      <c r="M21" s="51">
        <v>0.85</v>
      </c>
      <c r="N21" s="51">
        <v>6.02</v>
      </c>
      <c r="O21" s="16">
        <v>5.18</v>
      </c>
      <c r="P21" s="4">
        <v>0.81</v>
      </c>
      <c r="Q21" s="5">
        <v>4.97</v>
      </c>
      <c r="R21" s="5">
        <v>5.23</v>
      </c>
      <c r="S21" s="5">
        <v>5.89</v>
      </c>
      <c r="T21" s="55">
        <v>17</v>
      </c>
      <c r="U21" s="53">
        <v>4.83</v>
      </c>
      <c r="V21" s="51">
        <v>0.76</v>
      </c>
      <c r="W21" s="51">
        <v>5.55</v>
      </c>
      <c r="X21" s="47">
        <v>1</v>
      </c>
      <c r="Y21" s="5">
        <v>4.83</v>
      </c>
      <c r="Z21" s="4">
        <v>0.74</v>
      </c>
      <c r="AA21" s="5">
        <v>4.62</v>
      </c>
      <c r="AB21" s="5">
        <v>4.96</v>
      </c>
      <c r="AC21" s="9">
        <v>5.5</v>
      </c>
      <c r="AD21" s="57">
        <v>289.91000000000003</v>
      </c>
      <c r="AE21" s="57">
        <v>3.98</v>
      </c>
      <c r="AF21" s="57">
        <v>291.04000000000002</v>
      </c>
      <c r="AG21" s="57">
        <v>290.48</v>
      </c>
      <c r="AH21" s="57">
        <v>287.33999999999997</v>
      </c>
      <c r="AI21" s="60">
        <v>300</v>
      </c>
      <c r="AJ21" s="11">
        <v>651.1</v>
      </c>
      <c r="AK21" s="33">
        <v>700</v>
      </c>
      <c r="AL21" s="57">
        <v>941.02</v>
      </c>
      <c r="AM21" s="64">
        <v>24.98</v>
      </c>
    </row>
    <row r="22" spans="1:39" x14ac:dyDescent="0.3">
      <c r="A22" s="37" t="s">
        <v>39</v>
      </c>
      <c r="B22" s="14" t="s">
        <v>23</v>
      </c>
      <c r="C22" s="73" t="s">
        <v>54</v>
      </c>
      <c r="D22" s="75">
        <v>17</v>
      </c>
      <c r="E22" s="25">
        <v>17</v>
      </c>
      <c r="F22" s="25">
        <v>215</v>
      </c>
      <c r="G22" s="25">
        <v>17</v>
      </c>
      <c r="H22" s="26">
        <f t="shared" si="0"/>
        <v>12.647058823529411</v>
      </c>
      <c r="I22" s="23">
        <v>10</v>
      </c>
      <c r="J22" s="24">
        <v>7</v>
      </c>
      <c r="K22" s="55">
        <v>17</v>
      </c>
      <c r="L22" s="53">
        <v>5.29</v>
      </c>
      <c r="M22" s="51">
        <v>1.25</v>
      </c>
      <c r="N22" s="51">
        <v>6.63</v>
      </c>
      <c r="O22" s="16">
        <v>5.35</v>
      </c>
      <c r="P22" s="4">
        <v>1.07</v>
      </c>
      <c r="Q22" s="5">
        <v>5.31</v>
      </c>
      <c r="R22" s="5">
        <v>5.53</v>
      </c>
      <c r="S22" s="5">
        <v>6.26</v>
      </c>
      <c r="T22" s="55">
        <v>17</v>
      </c>
      <c r="U22" s="53">
        <v>4.91</v>
      </c>
      <c r="V22" s="51">
        <v>1.1599999999999999</v>
      </c>
      <c r="W22" s="51">
        <v>6.1</v>
      </c>
      <c r="X22" s="47">
        <v>1</v>
      </c>
      <c r="Y22" s="5">
        <v>4.9800000000000004</v>
      </c>
      <c r="Z22" s="4">
        <v>1.01</v>
      </c>
      <c r="AA22" s="5">
        <v>4.88</v>
      </c>
      <c r="AB22" s="5">
        <v>5.12</v>
      </c>
      <c r="AC22" s="9">
        <v>5.89</v>
      </c>
      <c r="AD22" s="57">
        <v>288.38</v>
      </c>
      <c r="AE22" s="57">
        <v>5.65</v>
      </c>
      <c r="AF22" s="57">
        <v>289.75</v>
      </c>
      <c r="AG22" s="57">
        <v>288.89999999999998</v>
      </c>
      <c r="AH22" s="57">
        <v>284.88</v>
      </c>
      <c r="AI22" s="60">
        <v>300</v>
      </c>
      <c r="AJ22" s="11">
        <v>635.97</v>
      </c>
      <c r="AK22" s="33">
        <v>700</v>
      </c>
      <c r="AL22" s="57">
        <v>924.35</v>
      </c>
      <c r="AM22" s="64">
        <v>24.72</v>
      </c>
    </row>
    <row r="23" spans="1:39" x14ac:dyDescent="0.3">
      <c r="A23" s="37" t="s">
        <v>39</v>
      </c>
      <c r="B23" s="14" t="s">
        <v>23</v>
      </c>
      <c r="C23" s="73" t="s">
        <v>55</v>
      </c>
      <c r="D23" s="75">
        <v>2</v>
      </c>
      <c r="E23" s="34">
        <v>0</v>
      </c>
      <c r="F23" s="25">
        <v>7</v>
      </c>
      <c r="G23" s="34">
        <v>0</v>
      </c>
      <c r="H23" s="26">
        <f t="shared" si="0"/>
        <v>3.5</v>
      </c>
      <c r="I23" s="23">
        <v>5</v>
      </c>
      <c r="J23" s="24">
        <v>0</v>
      </c>
      <c r="K23" s="55">
        <v>2</v>
      </c>
      <c r="L23" s="53">
        <v>4.97</v>
      </c>
      <c r="M23" s="51" t="s">
        <v>125</v>
      </c>
      <c r="N23" s="51" t="s">
        <v>124</v>
      </c>
      <c r="O23" s="16" t="s">
        <v>108</v>
      </c>
      <c r="P23" s="4" t="s">
        <v>107</v>
      </c>
      <c r="Q23" s="5" t="s">
        <v>107</v>
      </c>
      <c r="R23" s="5" t="s">
        <v>107</v>
      </c>
      <c r="S23" s="5" t="s">
        <v>107</v>
      </c>
      <c r="T23" s="55">
        <v>2</v>
      </c>
      <c r="U23" s="53">
        <v>4.6500000000000004</v>
      </c>
      <c r="V23" s="51" t="s">
        <v>124</v>
      </c>
      <c r="W23" s="51" t="s">
        <v>124</v>
      </c>
      <c r="X23" s="48" t="s">
        <v>108</v>
      </c>
      <c r="Y23" s="5" t="s">
        <v>108</v>
      </c>
      <c r="Z23" s="4" t="s">
        <v>107</v>
      </c>
      <c r="AA23" s="5" t="s">
        <v>107</v>
      </c>
      <c r="AB23" s="5" t="s">
        <v>107</v>
      </c>
      <c r="AC23" s="9" t="s">
        <v>107</v>
      </c>
      <c r="AD23" s="57" t="s">
        <v>107</v>
      </c>
      <c r="AE23" s="57" t="s">
        <v>107</v>
      </c>
      <c r="AF23" s="57" t="s">
        <v>107</v>
      </c>
      <c r="AG23" s="57" t="s">
        <v>107</v>
      </c>
      <c r="AH23" s="57" t="s">
        <v>107</v>
      </c>
      <c r="AI23" s="60">
        <v>300</v>
      </c>
      <c r="AJ23" s="11" t="s">
        <v>107</v>
      </c>
      <c r="AK23" s="33">
        <v>700</v>
      </c>
      <c r="AL23" s="57" t="s">
        <v>107</v>
      </c>
      <c r="AM23" s="64" t="s">
        <v>107</v>
      </c>
    </row>
    <row r="24" spans="1:39" x14ac:dyDescent="0.3">
      <c r="A24" s="37" t="s">
        <v>39</v>
      </c>
      <c r="B24" s="14" t="s">
        <v>23</v>
      </c>
      <c r="C24" s="73" t="s">
        <v>56</v>
      </c>
      <c r="D24" s="75">
        <v>7</v>
      </c>
      <c r="E24" s="25">
        <v>4</v>
      </c>
      <c r="F24" s="25">
        <v>12</v>
      </c>
      <c r="G24" s="25">
        <v>4</v>
      </c>
      <c r="H24" s="26">
        <f t="shared" si="0"/>
        <v>1.7142857142857142</v>
      </c>
      <c r="I24" s="23">
        <v>4</v>
      </c>
      <c r="J24" s="24">
        <v>1</v>
      </c>
      <c r="K24" s="55">
        <v>7</v>
      </c>
      <c r="L24" s="53">
        <v>5.05</v>
      </c>
      <c r="M24" s="51">
        <v>0.43</v>
      </c>
      <c r="N24" s="51">
        <v>5.12</v>
      </c>
      <c r="O24" s="16">
        <v>5.52</v>
      </c>
      <c r="P24" s="4">
        <v>1.02</v>
      </c>
      <c r="Q24" s="5">
        <v>5.0199999999999996</v>
      </c>
      <c r="R24" s="5">
        <v>5.0199999999999996</v>
      </c>
      <c r="S24" s="5">
        <v>5.12</v>
      </c>
      <c r="T24" s="55">
        <v>7</v>
      </c>
      <c r="U24" s="53">
        <v>4.76</v>
      </c>
      <c r="V24" s="51">
        <v>0.36</v>
      </c>
      <c r="W24" s="51">
        <v>4.8600000000000003</v>
      </c>
      <c r="X24" s="47">
        <v>1</v>
      </c>
      <c r="Y24" s="5">
        <v>5.17</v>
      </c>
      <c r="Z24" s="4">
        <v>0.94</v>
      </c>
      <c r="AA24" s="5">
        <v>4.75</v>
      </c>
      <c r="AB24" s="5">
        <v>4.75</v>
      </c>
      <c r="AC24" s="9">
        <v>4.8600000000000003</v>
      </c>
      <c r="AD24" s="57">
        <v>288.29000000000002</v>
      </c>
      <c r="AE24" s="57">
        <v>6.49</v>
      </c>
      <c r="AF24" s="57">
        <v>291.73</v>
      </c>
      <c r="AG24" s="57">
        <v>291.73</v>
      </c>
      <c r="AH24" s="57">
        <v>291.47000000000003</v>
      </c>
      <c r="AI24" s="60">
        <v>300</v>
      </c>
      <c r="AJ24" s="11">
        <v>584.5</v>
      </c>
      <c r="AK24" s="33">
        <v>700</v>
      </c>
      <c r="AL24" s="57">
        <v>872.79</v>
      </c>
      <c r="AM24" s="64">
        <v>55.26</v>
      </c>
    </row>
    <row r="25" spans="1:39" x14ac:dyDescent="0.3">
      <c r="A25" s="37" t="s">
        <v>39</v>
      </c>
      <c r="B25" s="14" t="s">
        <v>23</v>
      </c>
      <c r="C25" s="73" t="s">
        <v>57</v>
      </c>
      <c r="D25" s="75">
        <v>7</v>
      </c>
      <c r="E25" s="25">
        <v>7</v>
      </c>
      <c r="F25" s="25">
        <v>57</v>
      </c>
      <c r="G25" s="25">
        <v>7</v>
      </c>
      <c r="H25" s="26">
        <f t="shared" si="0"/>
        <v>8.1428571428571423</v>
      </c>
      <c r="I25" s="23">
        <v>11</v>
      </c>
      <c r="J25" s="24">
        <v>6</v>
      </c>
      <c r="K25" s="55">
        <v>7</v>
      </c>
      <c r="L25" s="53">
        <v>5.37</v>
      </c>
      <c r="M25" s="51">
        <v>1.1599999999999999</v>
      </c>
      <c r="N25" s="51">
        <v>6.02</v>
      </c>
      <c r="O25" s="16">
        <v>6.14</v>
      </c>
      <c r="P25" s="4">
        <v>1.2</v>
      </c>
      <c r="Q25" s="5">
        <v>5.57</v>
      </c>
      <c r="R25" s="5">
        <v>5.94</v>
      </c>
      <c r="S25" s="5">
        <v>6.56</v>
      </c>
      <c r="T25" s="55">
        <v>7</v>
      </c>
      <c r="U25" s="53">
        <v>5.13</v>
      </c>
      <c r="V25" s="51">
        <v>1.1299999999999999</v>
      </c>
      <c r="W25" s="51">
        <v>5.66</v>
      </c>
      <c r="X25" s="47">
        <v>1</v>
      </c>
      <c r="Y25" s="5">
        <v>5.71</v>
      </c>
      <c r="Z25" s="4">
        <v>1.1399999999999999</v>
      </c>
      <c r="AA25" s="5">
        <v>5.16</v>
      </c>
      <c r="AB25" s="5">
        <v>5.52</v>
      </c>
      <c r="AC25" s="9">
        <v>6.06</v>
      </c>
      <c r="AD25" s="57">
        <v>283.77999999999997</v>
      </c>
      <c r="AE25" s="57">
        <v>7.45</v>
      </c>
      <c r="AF25" s="57">
        <v>287.11</v>
      </c>
      <c r="AG25" s="57">
        <v>287.01</v>
      </c>
      <c r="AH25" s="57">
        <v>282.60000000000002</v>
      </c>
      <c r="AI25" s="60">
        <v>300</v>
      </c>
      <c r="AJ25" s="11">
        <v>578</v>
      </c>
      <c r="AK25" s="33">
        <v>700</v>
      </c>
      <c r="AL25" s="57">
        <v>861.78</v>
      </c>
      <c r="AM25" s="64">
        <v>26.46</v>
      </c>
    </row>
    <row r="26" spans="1:39" x14ac:dyDescent="0.3">
      <c r="A26" s="37" t="s">
        <v>39</v>
      </c>
      <c r="B26" s="14" t="s">
        <v>23</v>
      </c>
      <c r="C26" s="73" t="s">
        <v>58</v>
      </c>
      <c r="D26" s="75">
        <v>3</v>
      </c>
      <c r="E26" s="25">
        <v>8</v>
      </c>
      <c r="F26" s="25">
        <v>17</v>
      </c>
      <c r="G26" s="25">
        <v>8</v>
      </c>
      <c r="H26" s="26">
        <f t="shared" si="0"/>
        <v>5.666666666666667</v>
      </c>
      <c r="I26" s="23">
        <v>8</v>
      </c>
      <c r="J26" s="24">
        <v>6</v>
      </c>
      <c r="K26" s="55">
        <v>3</v>
      </c>
      <c r="L26" s="53">
        <v>4.46</v>
      </c>
      <c r="M26" s="51">
        <v>0.96</v>
      </c>
      <c r="N26" s="51" t="s">
        <v>127</v>
      </c>
      <c r="O26" s="16">
        <v>4.9000000000000004</v>
      </c>
      <c r="P26" s="4">
        <v>0.78</v>
      </c>
      <c r="Q26" s="5">
        <v>4.79</v>
      </c>
      <c r="R26" s="5">
        <v>4.9400000000000004</v>
      </c>
      <c r="S26" s="5">
        <v>5.07</v>
      </c>
      <c r="T26" s="55">
        <v>3</v>
      </c>
      <c r="U26" s="53">
        <v>4.1399999999999997</v>
      </c>
      <c r="V26" s="51">
        <v>0.86</v>
      </c>
      <c r="W26" s="51" t="s">
        <v>126</v>
      </c>
      <c r="X26" s="47">
        <v>1</v>
      </c>
      <c r="Y26" s="5">
        <v>4.6500000000000004</v>
      </c>
      <c r="Z26" s="4">
        <v>0.7</v>
      </c>
      <c r="AA26" s="5">
        <v>4.51</v>
      </c>
      <c r="AB26" s="5">
        <v>4.74</v>
      </c>
      <c r="AC26" s="9">
        <v>4.8600000000000003</v>
      </c>
      <c r="AD26" s="57">
        <v>290.45</v>
      </c>
      <c r="AE26" s="57">
        <v>3.37</v>
      </c>
      <c r="AF26" s="57">
        <v>292.29000000000002</v>
      </c>
      <c r="AG26" s="57">
        <v>289.70999999999998</v>
      </c>
      <c r="AH26" s="57">
        <v>289.39</v>
      </c>
      <c r="AI26" s="60">
        <v>300</v>
      </c>
      <c r="AJ26" s="11">
        <v>666.75</v>
      </c>
      <c r="AK26" s="33">
        <v>700</v>
      </c>
      <c r="AL26" s="57">
        <v>957.2</v>
      </c>
      <c r="AM26" s="64">
        <v>11.73</v>
      </c>
    </row>
    <row r="27" spans="1:39" x14ac:dyDescent="0.3">
      <c r="A27" s="37" t="s">
        <v>39</v>
      </c>
      <c r="B27" s="14" t="s">
        <v>23</v>
      </c>
      <c r="C27" s="73" t="s">
        <v>59</v>
      </c>
      <c r="D27" s="75">
        <v>6</v>
      </c>
      <c r="E27" s="25">
        <v>6</v>
      </c>
      <c r="F27" s="25">
        <v>17</v>
      </c>
      <c r="G27" s="25">
        <v>5</v>
      </c>
      <c r="H27" s="26">
        <f t="shared" si="0"/>
        <v>2.8333333333333335</v>
      </c>
      <c r="I27" s="23">
        <v>8</v>
      </c>
      <c r="J27" s="24">
        <v>2</v>
      </c>
      <c r="K27" s="55">
        <v>6</v>
      </c>
      <c r="L27" s="53">
        <v>4.1500000000000004</v>
      </c>
      <c r="M27" s="51">
        <v>1.06</v>
      </c>
      <c r="N27" s="51">
        <v>4.76</v>
      </c>
      <c r="O27" s="16">
        <v>4.5199999999999996</v>
      </c>
      <c r="P27" s="4">
        <v>1.01</v>
      </c>
      <c r="Q27" s="5">
        <v>3.78</v>
      </c>
      <c r="R27" s="5">
        <v>3.93</v>
      </c>
      <c r="S27" s="5">
        <v>5.42</v>
      </c>
      <c r="T27" s="55">
        <v>6</v>
      </c>
      <c r="U27" s="53">
        <v>3.98</v>
      </c>
      <c r="V27" s="51">
        <v>0.97</v>
      </c>
      <c r="W27" s="51">
        <v>4.38</v>
      </c>
      <c r="X27" s="47">
        <v>0.8</v>
      </c>
      <c r="Y27" s="5">
        <v>4.29</v>
      </c>
      <c r="Z27" s="4">
        <v>0.96</v>
      </c>
      <c r="AA27" s="5">
        <v>3.5</v>
      </c>
      <c r="AB27" s="5">
        <v>3.93</v>
      </c>
      <c r="AC27" s="9">
        <v>5.14</v>
      </c>
      <c r="AD27" s="57">
        <v>291.75</v>
      </c>
      <c r="AE27" s="57">
        <v>3.54</v>
      </c>
      <c r="AF27" s="57">
        <v>294.75</v>
      </c>
      <c r="AG27" s="57">
        <v>293.06</v>
      </c>
      <c r="AH27" s="57">
        <v>289.77</v>
      </c>
      <c r="AI27" s="60">
        <v>300</v>
      </c>
      <c r="AJ27" s="11">
        <v>644</v>
      </c>
      <c r="AK27" s="33">
        <v>700</v>
      </c>
      <c r="AL27" s="57">
        <v>935.75</v>
      </c>
      <c r="AM27" s="64">
        <v>13.99</v>
      </c>
    </row>
    <row r="28" spans="1:39" x14ac:dyDescent="0.3">
      <c r="A28" s="37" t="s">
        <v>39</v>
      </c>
      <c r="B28" s="14" t="s">
        <v>23</v>
      </c>
      <c r="C28" s="73" t="s">
        <v>60</v>
      </c>
      <c r="D28" s="75">
        <v>3</v>
      </c>
      <c r="E28" s="25">
        <v>2</v>
      </c>
      <c r="F28" s="25">
        <v>9</v>
      </c>
      <c r="G28" s="25">
        <v>2</v>
      </c>
      <c r="H28" s="26">
        <f t="shared" si="0"/>
        <v>3</v>
      </c>
      <c r="I28" s="23">
        <v>5</v>
      </c>
      <c r="J28" s="24">
        <v>1</v>
      </c>
      <c r="K28" s="55">
        <v>3</v>
      </c>
      <c r="L28" s="53">
        <v>5.19</v>
      </c>
      <c r="M28" s="51">
        <v>0.96</v>
      </c>
      <c r="N28" s="51" t="s">
        <v>126</v>
      </c>
      <c r="O28" s="16">
        <v>4.8</v>
      </c>
      <c r="P28" s="4" t="s">
        <v>125</v>
      </c>
      <c r="Q28" s="5" t="s">
        <v>124</v>
      </c>
      <c r="R28" s="5" t="s">
        <v>124</v>
      </c>
      <c r="S28" s="5" t="s">
        <v>124</v>
      </c>
      <c r="T28" s="55">
        <v>3</v>
      </c>
      <c r="U28" s="53">
        <v>4.8</v>
      </c>
      <c r="V28" s="51">
        <v>0.9</v>
      </c>
      <c r="W28" s="51" t="s">
        <v>126</v>
      </c>
      <c r="X28" s="47">
        <v>1</v>
      </c>
      <c r="Y28" s="5">
        <v>4.43</v>
      </c>
      <c r="Z28" s="4" t="s">
        <v>124</v>
      </c>
      <c r="AA28" s="5" t="s">
        <v>124</v>
      </c>
      <c r="AB28" s="5" t="s">
        <v>124</v>
      </c>
      <c r="AC28" s="9" t="s">
        <v>124</v>
      </c>
      <c r="AD28" s="57">
        <v>290.54000000000002</v>
      </c>
      <c r="AE28" s="57" t="s">
        <v>124</v>
      </c>
      <c r="AF28" s="57" t="s">
        <v>124</v>
      </c>
      <c r="AG28" s="57" t="s">
        <v>124</v>
      </c>
      <c r="AH28" s="57" t="s">
        <v>124</v>
      </c>
      <c r="AI28" s="60">
        <v>300</v>
      </c>
      <c r="AJ28" s="11">
        <v>651</v>
      </c>
      <c r="AK28" s="33">
        <v>700</v>
      </c>
      <c r="AL28" s="57">
        <v>941.54</v>
      </c>
      <c r="AM28" s="64">
        <v>33.75</v>
      </c>
    </row>
    <row r="29" spans="1:39" x14ac:dyDescent="0.3">
      <c r="A29" s="37" t="s">
        <v>39</v>
      </c>
      <c r="B29" s="14" t="s">
        <v>23</v>
      </c>
      <c r="C29" s="73" t="s">
        <v>61</v>
      </c>
      <c r="D29" s="75">
        <v>7</v>
      </c>
      <c r="E29" s="25">
        <v>9</v>
      </c>
      <c r="F29" s="25">
        <v>35</v>
      </c>
      <c r="G29" s="25">
        <v>9</v>
      </c>
      <c r="H29" s="26">
        <f t="shared" si="0"/>
        <v>5</v>
      </c>
      <c r="I29" s="23">
        <v>10</v>
      </c>
      <c r="J29" s="24">
        <v>6</v>
      </c>
      <c r="K29" s="55">
        <v>7</v>
      </c>
      <c r="L29" s="53">
        <v>4.0199999999999996</v>
      </c>
      <c r="M29" s="51">
        <v>1.53</v>
      </c>
      <c r="N29" s="51">
        <v>5.38</v>
      </c>
      <c r="O29" s="16">
        <v>4.88</v>
      </c>
      <c r="P29" s="4">
        <v>1.37</v>
      </c>
      <c r="Q29" s="5">
        <v>4.5599999999999996</v>
      </c>
      <c r="R29" s="5">
        <v>5.7</v>
      </c>
      <c r="S29" s="5">
        <v>6.34</v>
      </c>
      <c r="T29" s="55">
        <v>7</v>
      </c>
      <c r="U29" s="53">
        <v>3.95</v>
      </c>
      <c r="V29" s="51">
        <v>1.48</v>
      </c>
      <c r="W29" s="51">
        <v>5.28</v>
      </c>
      <c r="X29" s="47">
        <v>0.1111111111111111</v>
      </c>
      <c r="Y29" s="5">
        <v>4.8499999999999996</v>
      </c>
      <c r="Z29" s="4">
        <v>1.38</v>
      </c>
      <c r="AA29" s="5">
        <v>4.3899999999999997</v>
      </c>
      <c r="AB29" s="5">
        <v>5.7</v>
      </c>
      <c r="AC29" s="9">
        <v>6.34</v>
      </c>
      <c r="AD29" s="57">
        <v>288.88</v>
      </c>
      <c r="AE29" s="57">
        <v>6.87</v>
      </c>
      <c r="AF29" s="57">
        <v>292.38</v>
      </c>
      <c r="AG29" s="57">
        <v>290.82</v>
      </c>
      <c r="AH29" s="57">
        <v>286.39</v>
      </c>
      <c r="AI29" s="60">
        <v>300</v>
      </c>
      <c r="AJ29" s="11">
        <v>650.22</v>
      </c>
      <c r="AK29" s="33">
        <v>700</v>
      </c>
      <c r="AL29" s="57">
        <v>939.1</v>
      </c>
      <c r="AM29" s="64">
        <v>14.22</v>
      </c>
    </row>
    <row r="30" spans="1:39" x14ac:dyDescent="0.3">
      <c r="A30" s="37" t="s">
        <v>39</v>
      </c>
      <c r="B30" s="14" t="s">
        <v>23</v>
      </c>
      <c r="C30" s="73" t="s">
        <v>62</v>
      </c>
      <c r="D30" s="75">
        <v>8</v>
      </c>
      <c r="E30" s="25">
        <v>8</v>
      </c>
      <c r="F30" s="25">
        <v>31</v>
      </c>
      <c r="G30" s="25">
        <v>7</v>
      </c>
      <c r="H30" s="26">
        <f t="shared" si="0"/>
        <v>3.875</v>
      </c>
      <c r="I30" s="23">
        <v>17</v>
      </c>
      <c r="J30" s="24">
        <v>5</v>
      </c>
      <c r="K30" s="55">
        <v>8</v>
      </c>
      <c r="L30" s="53">
        <v>4.5199999999999996</v>
      </c>
      <c r="M30" s="51">
        <v>1.75</v>
      </c>
      <c r="N30" s="51">
        <v>5.67</v>
      </c>
      <c r="O30" s="16">
        <v>5.7</v>
      </c>
      <c r="P30" s="4">
        <v>0.59</v>
      </c>
      <c r="Q30" s="5">
        <v>5.55</v>
      </c>
      <c r="R30" s="5">
        <v>5.67</v>
      </c>
      <c r="S30" s="5">
        <v>6.04</v>
      </c>
      <c r="T30" s="55">
        <v>8</v>
      </c>
      <c r="U30" s="53">
        <v>4.37</v>
      </c>
      <c r="V30" s="51">
        <v>1.64</v>
      </c>
      <c r="W30" s="51">
        <v>5.4</v>
      </c>
      <c r="X30" s="47">
        <v>0.5714285714285714</v>
      </c>
      <c r="Y30" s="5">
        <v>5.49</v>
      </c>
      <c r="Z30" s="4">
        <v>0.56999999999999995</v>
      </c>
      <c r="AA30" s="5">
        <v>5.55</v>
      </c>
      <c r="AB30" s="5">
        <v>5.59</v>
      </c>
      <c r="AC30" s="9">
        <v>5.67</v>
      </c>
      <c r="AD30" s="57">
        <v>286.08999999999997</v>
      </c>
      <c r="AE30" s="57">
        <v>3.18</v>
      </c>
      <c r="AF30" s="57">
        <v>286.64</v>
      </c>
      <c r="AG30" s="57">
        <v>286.02</v>
      </c>
      <c r="AH30" s="57">
        <v>284.14999999999998</v>
      </c>
      <c r="AI30" s="60">
        <v>300</v>
      </c>
      <c r="AJ30" s="11">
        <v>645.20000000000005</v>
      </c>
      <c r="AK30" s="33">
        <v>700</v>
      </c>
      <c r="AL30" s="57">
        <v>931.29</v>
      </c>
      <c r="AM30" s="64">
        <v>24.02</v>
      </c>
    </row>
    <row r="31" spans="1:39" x14ac:dyDescent="0.3">
      <c r="A31" s="37" t="s">
        <v>39</v>
      </c>
      <c r="B31" s="14" t="s">
        <v>23</v>
      </c>
      <c r="C31" s="73" t="s">
        <v>63</v>
      </c>
      <c r="D31" s="75">
        <v>7</v>
      </c>
      <c r="E31" s="25">
        <v>6</v>
      </c>
      <c r="F31" s="25">
        <v>17</v>
      </c>
      <c r="G31" s="25">
        <v>5</v>
      </c>
      <c r="H31" s="26">
        <f t="shared" si="0"/>
        <v>2.4285714285714284</v>
      </c>
      <c r="I31" s="23">
        <v>10</v>
      </c>
      <c r="J31" s="24">
        <v>4</v>
      </c>
      <c r="K31" s="55">
        <v>7</v>
      </c>
      <c r="L31" s="53">
        <v>5.2</v>
      </c>
      <c r="M31" s="51">
        <v>0.82</v>
      </c>
      <c r="N31" s="51">
        <v>6.06</v>
      </c>
      <c r="O31" s="16">
        <v>6.29</v>
      </c>
      <c r="P31" s="4">
        <v>0.81</v>
      </c>
      <c r="Q31" s="5">
        <v>6.07</v>
      </c>
      <c r="R31" s="5">
        <v>6.1</v>
      </c>
      <c r="S31" s="5">
        <v>6.92</v>
      </c>
      <c r="T31" s="55">
        <v>7</v>
      </c>
      <c r="U31" s="53">
        <v>5.01</v>
      </c>
      <c r="V31" s="51">
        <v>0.91</v>
      </c>
      <c r="W31" s="51">
        <v>5.77</v>
      </c>
      <c r="X31" s="47">
        <v>0.8</v>
      </c>
      <c r="Y31" s="5">
        <v>5.93</v>
      </c>
      <c r="Z31" s="4">
        <v>0.72</v>
      </c>
      <c r="AA31" s="5">
        <v>5.77</v>
      </c>
      <c r="AB31" s="5">
        <v>6.1</v>
      </c>
      <c r="AC31" s="9">
        <v>6.43</v>
      </c>
      <c r="AD31" s="57">
        <v>283.58999999999997</v>
      </c>
      <c r="AE31" s="57">
        <v>4.67</v>
      </c>
      <c r="AF31" s="57">
        <v>285.52999999999997</v>
      </c>
      <c r="AG31" s="57">
        <v>283.95999999999998</v>
      </c>
      <c r="AH31" s="57">
        <v>279.58999999999997</v>
      </c>
      <c r="AI31" s="60">
        <v>300</v>
      </c>
      <c r="AJ31" s="11">
        <v>635.6</v>
      </c>
      <c r="AK31" s="33">
        <v>700</v>
      </c>
      <c r="AL31" s="57">
        <v>919.19</v>
      </c>
      <c r="AM31" s="64">
        <v>20.49</v>
      </c>
    </row>
    <row r="32" spans="1:39" ht="14.25" thickBot="1" x14ac:dyDescent="0.35">
      <c r="A32" s="38" t="s">
        <v>113</v>
      </c>
      <c r="B32" s="15" t="s">
        <v>15</v>
      </c>
      <c r="C32" s="74" t="s">
        <v>40</v>
      </c>
      <c r="D32" s="76">
        <v>3</v>
      </c>
      <c r="E32" s="27">
        <v>3</v>
      </c>
      <c r="F32" s="27">
        <v>3</v>
      </c>
      <c r="G32" s="27">
        <v>1</v>
      </c>
      <c r="H32" s="28">
        <f t="shared" si="0"/>
        <v>1</v>
      </c>
      <c r="I32" s="40" t="s">
        <v>134</v>
      </c>
      <c r="J32" s="41" t="s">
        <v>134</v>
      </c>
      <c r="K32" s="56">
        <v>2</v>
      </c>
      <c r="L32" s="54">
        <v>2.15</v>
      </c>
      <c r="M32" s="52" t="s">
        <v>124</v>
      </c>
      <c r="N32" s="52" t="s">
        <v>124</v>
      </c>
      <c r="O32" s="17" t="s">
        <v>99</v>
      </c>
      <c r="P32" s="29" t="s">
        <v>87</v>
      </c>
      <c r="Q32" s="6" t="s">
        <v>99</v>
      </c>
      <c r="R32" s="6" t="s">
        <v>99</v>
      </c>
      <c r="S32" s="6" t="s">
        <v>99</v>
      </c>
      <c r="T32" s="56">
        <v>2</v>
      </c>
      <c r="U32" s="54">
        <v>2.09</v>
      </c>
      <c r="V32" s="52" t="s">
        <v>124</v>
      </c>
      <c r="W32" s="52" t="s">
        <v>124</v>
      </c>
      <c r="X32" s="49">
        <v>0</v>
      </c>
      <c r="Y32" s="6" t="s">
        <v>99</v>
      </c>
      <c r="Z32" s="29" t="s">
        <v>99</v>
      </c>
      <c r="AA32" s="6" t="s">
        <v>99</v>
      </c>
      <c r="AB32" s="6" t="s">
        <v>99</v>
      </c>
      <c r="AC32" s="10" t="s">
        <v>99</v>
      </c>
      <c r="AD32" s="61" t="s">
        <v>99</v>
      </c>
      <c r="AE32" s="61" t="s">
        <v>99</v>
      </c>
      <c r="AF32" s="61" t="s">
        <v>99</v>
      </c>
      <c r="AG32" s="61" t="s">
        <v>99</v>
      </c>
      <c r="AH32" s="61" t="s">
        <v>99</v>
      </c>
      <c r="AI32" s="63">
        <v>100</v>
      </c>
      <c r="AJ32" s="42" t="s">
        <v>117</v>
      </c>
      <c r="AK32" s="31" t="s">
        <v>117</v>
      </c>
      <c r="AL32" s="61" t="s">
        <v>99</v>
      </c>
      <c r="AM32" s="65" t="s">
        <v>99</v>
      </c>
    </row>
  </sheetData>
  <autoFilter ref="A13:AM32" xr:uid="{50EFE221-E273-49D6-86E9-5145F322EABF}"/>
  <mergeCells count="20">
    <mergeCell ref="G11:G13"/>
    <mergeCell ref="H11:H13"/>
    <mergeCell ref="F11:F13"/>
    <mergeCell ref="E11:E13"/>
    <mergeCell ref="A11:A13"/>
    <mergeCell ref="B11:B13"/>
    <mergeCell ref="C11:C13"/>
    <mergeCell ref="D11:D13"/>
    <mergeCell ref="A1:AM1"/>
    <mergeCell ref="O12:S12"/>
    <mergeCell ref="J11:J13"/>
    <mergeCell ref="T11:AC11"/>
    <mergeCell ref="AD11:AI12"/>
    <mergeCell ref="AL11:AM12"/>
    <mergeCell ref="T12:W12"/>
    <mergeCell ref="X12:AC12"/>
    <mergeCell ref="AJ11:AK12"/>
    <mergeCell ref="K11:S11"/>
    <mergeCell ref="K12:N12"/>
    <mergeCell ref="I11:I13"/>
  </mergeCells>
  <phoneticPr fontId="1" type="noConversion"/>
  <pageMargins left="0.25" right="0.25" top="0.75" bottom="0.75" header="0.3" footer="0.3"/>
  <pageSetup paperSize="12" scale="60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수시모집-학생부교과전형</vt:lpstr>
      <vt:lpstr>수시모집-실기실적전형</vt:lpstr>
      <vt:lpstr>'수시모집-실기실적전형'!Print_Titles</vt:lpstr>
      <vt:lpstr>'수시모집-학생부교과전형'!Print_Titles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영임</cp:lastModifiedBy>
  <cp:lastPrinted>2025-03-27T12:56:00Z</cp:lastPrinted>
  <dcterms:created xsi:type="dcterms:W3CDTF">2025-03-13T11:29:08Z</dcterms:created>
  <dcterms:modified xsi:type="dcterms:W3CDTF">2026-04-29T00:38:01Z</dcterms:modified>
</cp:coreProperties>
</file>