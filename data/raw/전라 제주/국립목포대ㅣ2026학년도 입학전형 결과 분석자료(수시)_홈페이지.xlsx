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통계(진행 중)\2026학년도 수시 및 정시 입시결과 분석\"/>
    </mc:Choice>
  </mc:AlternateContent>
  <xr:revisionPtr revIDLastSave="0" documentId="13_ncr:1_{C761A17D-5220-4867-B374-DABDA55082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체" sheetId="1" r:id="rId1"/>
  </sheets>
  <definedNames>
    <definedName name="_xlnm._FilterDatabase" localSheetId="0" hidden="1">전체!$A$140:$S$176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2" i="1" l="1"/>
  <c r="C222" i="1" l="1"/>
  <c r="E222" i="1" l="1"/>
  <c r="E221" i="1"/>
  <c r="E220" i="1"/>
  <c r="E230" i="1"/>
  <c r="E229" i="1"/>
  <c r="E228" i="1"/>
  <c r="E236" i="1"/>
  <c r="E243" i="1" l="1"/>
  <c r="E250" i="1"/>
  <c r="D222" i="1" l="1"/>
  <c r="F222" i="1"/>
  <c r="F135" i="1"/>
  <c r="F128" i="1"/>
  <c r="C230" i="1"/>
  <c r="D230" i="1"/>
  <c r="F230" i="1"/>
  <c r="E213" i="1"/>
  <c r="F214" i="1"/>
  <c r="D214" i="1"/>
  <c r="C214" i="1"/>
  <c r="E183" i="1"/>
  <c r="E184" i="1"/>
  <c r="E185" i="1"/>
  <c r="E186" i="1"/>
  <c r="E187" i="1"/>
  <c r="E188" i="1"/>
  <c r="E182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41" i="1"/>
  <c r="E134" i="1"/>
  <c r="E127" i="1"/>
  <c r="E126" i="1"/>
  <c r="D128" i="1"/>
  <c r="C128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00" i="1"/>
  <c r="E93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8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10" i="1"/>
  <c r="D52" i="1"/>
  <c r="C52" i="1"/>
  <c r="D251" i="1"/>
  <c r="D244" i="1"/>
  <c r="D237" i="1"/>
  <c r="D176" i="1"/>
  <c r="D189" i="1"/>
  <c r="D135" i="1"/>
  <c r="D120" i="1"/>
  <c r="D94" i="1"/>
  <c r="C94" i="1"/>
  <c r="D87" i="1"/>
  <c r="C135" i="1"/>
  <c r="C251" i="1"/>
  <c r="C244" i="1"/>
  <c r="C237" i="1"/>
  <c r="C176" i="1"/>
  <c r="C189" i="1"/>
  <c r="C120" i="1"/>
  <c r="C87" i="1"/>
  <c r="F52" i="1" l="1"/>
  <c r="F87" i="1"/>
  <c r="E214" i="1"/>
  <c r="E176" i="1"/>
  <c r="E189" i="1"/>
  <c r="E128" i="1"/>
  <c r="E135" i="1"/>
  <c r="E120" i="1"/>
  <c r="E94" i="1"/>
  <c r="F120" i="1"/>
  <c r="F244" i="1"/>
  <c r="F189" i="1"/>
  <c r="F207" i="1"/>
  <c r="F176" i="1"/>
  <c r="F251" i="1"/>
  <c r="F237" i="1"/>
  <c r="D207" i="1"/>
  <c r="E195" i="1" l="1"/>
  <c r="E207" i="1"/>
</calcChain>
</file>

<file path=xl/sharedStrings.xml><?xml version="1.0" encoding="utf-8"?>
<sst xmlns="http://schemas.openxmlformats.org/spreadsheetml/2006/main" count="643" uniqueCount="106">
  <si>
    <t>대학</t>
    <phoneticPr fontId="3" type="noConversion"/>
  </si>
  <si>
    <t>모집단위</t>
    <phoneticPr fontId="3" type="noConversion"/>
  </si>
  <si>
    <t>학생부교과(교과일반전형)</t>
    <phoneticPr fontId="3" type="noConversion"/>
  </si>
  <si>
    <t>모집현황</t>
    <phoneticPr fontId="3" type="noConversion"/>
  </si>
  <si>
    <t>등록인원</t>
    <phoneticPr fontId="2" type="noConversion"/>
  </si>
  <si>
    <t>모집인원</t>
    <phoneticPr fontId="3" type="noConversion"/>
  </si>
  <si>
    <t>지원인원</t>
    <phoneticPr fontId="3" type="noConversion"/>
  </si>
  <si>
    <t>경쟁률</t>
    <phoneticPr fontId="3" type="noConversion"/>
  </si>
  <si>
    <t>글로벌학부</t>
  </si>
  <si>
    <t>지적학과</t>
  </si>
  <si>
    <t>사회복지학과</t>
  </si>
  <si>
    <t>간호학과</t>
  </si>
  <si>
    <t>건축학과(5년제)</t>
  </si>
  <si>
    <t>아동학과</t>
  </si>
  <si>
    <t>패션의류학과</t>
  </si>
  <si>
    <t>교육학과</t>
  </si>
  <si>
    <t>윤리교육과</t>
  </si>
  <si>
    <t>영어교육과</t>
  </si>
  <si>
    <t>수학교육과</t>
  </si>
  <si>
    <t>환경교육과</t>
  </si>
  <si>
    <t>약학과</t>
  </si>
  <si>
    <t>소계</t>
    <phoneticPr fontId="2" type="noConversion"/>
  </si>
  <si>
    <t>학생부교과(지역인재-일반전형)</t>
    <phoneticPr fontId="3" type="noConversion"/>
  </si>
  <si>
    <t>학생부교과(지역인재-기초및차상위전형)</t>
    <phoneticPr fontId="3" type="noConversion"/>
  </si>
  <si>
    <t>학생부교과(기초및차상위계층자전형)</t>
    <phoneticPr fontId="3" type="noConversion"/>
  </si>
  <si>
    <t>학생부종합(지역인재전형)</t>
    <phoneticPr fontId="3" type="noConversion"/>
  </si>
  <si>
    <t>학생부종합(종합일반전형)</t>
    <phoneticPr fontId="3" type="noConversion"/>
  </si>
  <si>
    <t>학생부종합(장애인전형)</t>
    <phoneticPr fontId="3" type="noConversion"/>
  </si>
  <si>
    <t>특기자전형</t>
    <phoneticPr fontId="3" type="noConversion"/>
  </si>
  <si>
    <t>인문대학</t>
  </si>
  <si>
    <t>사회과학대학</t>
  </si>
  <si>
    <t>관광학과</t>
  </si>
  <si>
    <t>생명·의과학대학</t>
  </si>
  <si>
    <t>공과대학</t>
  </si>
  <si>
    <t>반도체공학과</t>
  </si>
  <si>
    <t>전기공학과</t>
  </si>
  <si>
    <t>인공지능공학과</t>
  </si>
  <si>
    <t>에너지화학공학과</t>
  </si>
  <si>
    <t>경영대학</t>
  </si>
  <si>
    <t>생활과학예술체육대학</t>
  </si>
  <si>
    <t>사범대학</t>
  </si>
  <si>
    <t>약학대학</t>
  </si>
  <si>
    <t>총장직속</t>
  </si>
  <si>
    <t>자율전공학부</t>
  </si>
  <si>
    <t>국어국문·문예창작학부</t>
  </si>
  <si>
    <t>인문콘텐츠학부</t>
  </si>
  <si>
    <t>법·경찰학부</t>
  </si>
  <si>
    <t>행정·언론미디어학부</t>
  </si>
  <si>
    <t>식품·제약공학부</t>
  </si>
  <si>
    <t>원예산림학부</t>
  </si>
  <si>
    <t>기계조선해양공학부</t>
  </si>
  <si>
    <t>컴퓨터학부</t>
  </si>
  <si>
    <t>건축·토목·환경공학부</t>
  </si>
  <si>
    <t>경영학부</t>
  </si>
  <si>
    <t>경제무역학부</t>
  </si>
  <si>
    <t>아트앤디자인학부</t>
  </si>
  <si>
    <t>학생부교과(기회균형전형)</t>
    <phoneticPr fontId="3" type="noConversion"/>
  </si>
  <si>
    <t>특성화고 등을 졸업한 재직자전형</t>
    <phoneticPr fontId="3" type="noConversion"/>
  </si>
  <si>
    <t>성인학습자전형</t>
    <phoneticPr fontId="3" type="noConversion"/>
  </si>
  <si>
    <t>미래라이프대학</t>
  </si>
  <si>
    <t>도시계획 및 조경학부</t>
  </si>
  <si>
    <t>글로벌 커뮤니케이션학부</t>
  </si>
  <si>
    <t>최고</t>
    <phoneticPr fontId="2" type="noConversion"/>
  </si>
  <si>
    <t>평균</t>
    <phoneticPr fontId="2" type="noConversion"/>
  </si>
  <si>
    <t>최저</t>
    <phoneticPr fontId="3" type="noConversion"/>
  </si>
  <si>
    <t>환산점수(1,000점)</t>
    <phoneticPr fontId="2" type="noConversion"/>
  </si>
  <si>
    <t>내신등급</t>
    <phoneticPr fontId="2" type="noConversion"/>
  </si>
  <si>
    <t>최고</t>
    <phoneticPr fontId="3" type="noConversion"/>
  </si>
  <si>
    <t>평균</t>
    <phoneticPr fontId="3" type="noConversion"/>
  </si>
  <si>
    <t>70%cut</t>
    <phoneticPr fontId="3" type="noConversion"/>
  </si>
  <si>
    <t>90%cut</t>
    <phoneticPr fontId="3" type="noConversion"/>
  </si>
  <si>
    <t>* 70%cut: 10명 중 7등의 점수, 90%cut: 10명 중 9등의 점수</t>
    <phoneticPr fontId="2" type="noConversion"/>
  </si>
  <si>
    <t>식품영양학과</t>
    <phoneticPr fontId="2" type="noConversion"/>
  </si>
  <si>
    <t>학생부교과(농어촌학생전형)</t>
    <phoneticPr fontId="3" type="noConversion"/>
  </si>
  <si>
    <t>-</t>
    <phoneticPr fontId="2" type="noConversion"/>
  </si>
  <si>
    <t>비고</t>
    <phoneticPr fontId="2" type="noConversion"/>
  </si>
  <si>
    <t>지원자 전체</t>
    <phoneticPr fontId="2" type="noConversion"/>
  </si>
  <si>
    <t>입학생</t>
    <phoneticPr fontId="2" type="noConversion"/>
  </si>
  <si>
    <t>2026학년도 수시모집 입학전형 결과</t>
    <phoneticPr fontId="3" type="noConversion"/>
  </si>
  <si>
    <t>스마트모빌리티학부(담양)</t>
  </si>
  <si>
    <t>예술크리에이티브학부(담양)</t>
  </si>
  <si>
    <t>음악공연기획학부</t>
  </si>
  <si>
    <t>실기전형</t>
    <phoneticPr fontId="3" type="noConversion"/>
  </si>
  <si>
    <t>평생교육전형</t>
    <phoneticPr fontId="3" type="noConversion"/>
  </si>
  <si>
    <t>미래설계융합학부(야)</t>
  </si>
  <si>
    <t>기술인재전형</t>
    <phoneticPr fontId="3" type="noConversion"/>
  </si>
  <si>
    <t>수산생명의학과</t>
    <phoneticPr fontId="2" type="noConversion"/>
  </si>
  <si>
    <t>체육학과</t>
    <phoneticPr fontId="2" type="noConversion"/>
  </si>
  <si>
    <t>토목환경과(야)(담양)</t>
    <phoneticPr fontId="2" type="noConversion"/>
  </si>
  <si>
    <t>외식조리제빵과(담양)</t>
    <phoneticPr fontId="2" type="noConversion"/>
  </si>
  <si>
    <t>스마트해양·에너지학부(담양)</t>
    <phoneticPr fontId="2" type="noConversion"/>
  </si>
  <si>
    <t>미래챌린지대학
(전문학사-2년제)</t>
    <phoneticPr fontId="2" type="noConversion"/>
  </si>
  <si>
    <t>농수산식품학부(담양)</t>
    <phoneticPr fontId="2" type="noConversion"/>
  </si>
  <si>
    <t>충원합격
최종예비순위</t>
    <phoneticPr fontId="2" type="noConversion"/>
  </si>
  <si>
    <t/>
  </si>
  <si>
    <t>입학생 없음</t>
    <phoneticPr fontId="2" type="noConversion"/>
  </si>
  <si>
    <t>1. 성적 기준: 국립목포대학교 반영과목 평균(필수:국어,영어,수학/ 선택:과학,사회)</t>
    <phoneticPr fontId="2" type="noConversion"/>
  </si>
  <si>
    <t>2. 공개범위: 입학생 1명(미공개), 2명(평균만 공개), 3~4명(70~90%cut 제외)</t>
    <phoneticPr fontId="2" type="noConversion"/>
  </si>
  <si>
    <t>3. 지원인원 미달, 미등록, 면접결시(불합격)에 따라 충원합격자가 없는 모집단위도 있음</t>
    <phoneticPr fontId="2" type="noConversion"/>
  </si>
  <si>
    <t>내신등급 산출 불가</t>
    <phoneticPr fontId="2" type="noConversion"/>
  </si>
  <si>
    <t>전형방법 : 교과성적 90% + 출석 10%</t>
    <phoneticPr fontId="3" type="noConversion"/>
  </si>
  <si>
    <t>전형방법 : 서류평가 100%</t>
    <phoneticPr fontId="3" type="noConversion"/>
  </si>
  <si>
    <t>전형방법 : 서류평가 80% + 면접평가 20%</t>
    <phoneticPr fontId="3" type="noConversion"/>
  </si>
  <si>
    <t>전형방법 : 교과성적 60% + 출석 10% + 실기 30%</t>
    <phoneticPr fontId="3" type="noConversion"/>
  </si>
  <si>
    <t>전형방법 : 교과성적 30% + 출석 10% + 입상실적 50% + 면접 10%</t>
    <phoneticPr fontId="3" type="noConversion"/>
  </si>
  <si>
    <t>전형방법 : 면접고사 100%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</si>
</sst>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7">
    <xf numFmtId="0" fontId="0" fillId="0" borderId="0" xfId="0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5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8" xfId="0" applyNumberFormat="1" applyBorder="1" applyAlignment="1">
      <alignment horizontal="center" vertical="center" wrapText="1"/>
    </xf>
    <xf numFmtId="2" fontId="6" fillId="5" borderId="8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6" fillId="5" borderId="1" xfId="0" applyNumberFormat="1" applyFont="1" applyFill="1" applyBorder="1" applyAlignment="1">
      <alignment horizontal="center" vertical="center"/>
    </xf>
    <xf numFmtId="177" fontId="6" fillId="5" borderId="6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77" fontId="0" fillId="0" borderId="8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8" xfId="0" applyFont="1" applyBorder="1" applyAlignment="1">
      <alignment horizontal="left" vertical="center"/>
    </xf>
    <xf numFmtId="2" fontId="6" fillId="5" borderId="6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6" fontId="6" fillId="4" borderId="1" xfId="1" applyNumberFormat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18" xfId="1" applyFont="1" applyFill="1" applyBorder="1" applyAlignment="1">
      <alignment horizontal="center" vertical="center"/>
    </xf>
    <xf numFmtId="2" fontId="1" fillId="6" borderId="15" xfId="0" applyNumberFormat="1" applyFont="1" applyFill="1" applyBorder="1" applyAlignment="1">
      <alignment horizontal="center" vertical="center" wrapText="1"/>
    </xf>
    <xf numFmtId="2" fontId="1" fillId="6" borderId="13" xfId="0" applyNumberFormat="1" applyFont="1" applyFill="1" applyBorder="1" applyAlignment="1">
      <alignment horizontal="center" vertical="center" wrapText="1"/>
    </xf>
    <xf numFmtId="2" fontId="1" fillId="6" borderId="14" xfId="0" applyNumberFormat="1" applyFont="1" applyFill="1" applyBorder="1" applyAlignment="1">
      <alignment horizontal="center" vertical="center" wrapText="1"/>
    </xf>
    <xf numFmtId="2" fontId="1" fillId="6" borderId="16" xfId="0" applyNumberFormat="1" applyFont="1" applyFill="1" applyBorder="1" applyAlignment="1">
      <alignment horizontal="center" vertical="center" wrapText="1"/>
    </xf>
    <xf numFmtId="2" fontId="1" fillId="6" borderId="17" xfId="0" applyNumberFormat="1" applyFont="1" applyFill="1" applyBorder="1" applyAlignment="1">
      <alignment horizontal="center" vertical="center" wrapText="1"/>
    </xf>
    <xf numFmtId="2" fontId="1" fillId="6" borderId="18" xfId="0" applyNumberFormat="1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 wrapText="1"/>
    </xf>
    <xf numFmtId="176" fontId="6" fillId="4" borderId="2" xfId="1" applyNumberFormat="1" applyFont="1" applyFill="1" applyBorder="1" applyAlignment="1">
      <alignment horizontal="center" vertical="center"/>
    </xf>
    <xf numFmtId="176" fontId="6" fillId="4" borderId="3" xfId="1" applyNumberFormat="1" applyFont="1" applyFill="1" applyBorder="1" applyAlignment="1">
      <alignment horizontal="center" vertical="center"/>
    </xf>
    <xf numFmtId="176" fontId="6" fillId="4" borderId="4" xfId="1" applyNumberFormat="1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/>
    </xf>
    <xf numFmtId="176" fontId="5" fillId="2" borderId="3" xfId="1" applyNumberFormat="1" applyFont="1" applyFill="1" applyBorder="1" applyAlignment="1">
      <alignment horizontal="center" vertical="center"/>
    </xf>
    <xf numFmtId="176" fontId="5" fillId="2" borderId="4" xfId="1" applyNumberFormat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176" fontId="6" fillId="4" borderId="2" xfId="1" applyNumberFormat="1" applyFont="1" applyFill="1" applyBorder="1" applyAlignment="1">
      <alignment horizontal="center" vertical="center" wrapText="1"/>
    </xf>
    <xf numFmtId="176" fontId="6" fillId="4" borderId="3" xfId="1" applyNumberFormat="1" applyFont="1" applyFill="1" applyBorder="1" applyAlignment="1">
      <alignment horizontal="center" vertical="center" wrapText="1"/>
    </xf>
    <xf numFmtId="176" fontId="6" fillId="4" borderId="4" xfId="1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176" fontId="6" fillId="4" borderId="1" xfId="1" applyNumberFormat="1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 wrapText="1"/>
    </xf>
    <xf numFmtId="176" fontId="5" fillId="2" borderId="3" xfId="1" applyNumberFormat="1" applyFont="1" applyFill="1" applyBorder="1" applyAlignment="1">
      <alignment horizontal="center" vertical="center" wrapText="1"/>
    </xf>
    <xf numFmtId="176" fontId="5" fillId="2" borderId="4" xfId="1" applyNumberFormat="1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176" fontId="5" fillId="2" borderId="19" xfId="1" applyNumberFormat="1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4" fillId="0" borderId="0" xfId="1" applyFont="1">
      <alignment vertical="center"/>
    </xf>
    <xf numFmtId="0" fontId="0" fillId="0" borderId="6" xfId="0" applyBorder="1" applyAlignment="1">
      <alignment horizontal="center" vertical="center"/>
    </xf>
  </cellXfs>
  <cellStyles count="2"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51"/>
  <sheetViews>
    <sheetView tabSelected="1" zoomScaleNormal="100" zoomScaleSheetLayoutView="85" workbookViewId="0">
      <selection sqref="A1:S1"/>
    </sheetView>
  </sheetViews>
  <sheetFormatPr defaultColWidth="17" defaultRowHeight="16.5" x14ac:dyDescent="0.3"/>
  <cols>
    <col min="1" max="1" width="22.875" style="14" customWidth="1"/>
    <col min="2" max="2" width="34" bestFit="1" customWidth="1"/>
    <col min="3" max="4" width="9.25" style="14" bestFit="1" customWidth="1"/>
    <col min="5" max="5" width="9" style="14" bestFit="1" customWidth="1"/>
    <col min="6" max="6" width="9.25" style="14" bestFit="1" customWidth="1"/>
    <col min="7" max="7" width="13.25" style="14" bestFit="1" customWidth="1"/>
    <col min="8" max="10" width="9.625" style="14" customWidth="1"/>
    <col min="11" max="13" width="6.25" style="14" bestFit="1" customWidth="1"/>
    <col min="14" max="15" width="8.375" style="14" bestFit="1" customWidth="1"/>
    <col min="16" max="18" width="8.875" style="14" bestFit="1" customWidth="1"/>
    <col min="19" max="19" width="20.625" style="30" customWidth="1"/>
    <col min="20" max="20" width="22.75" bestFit="1" customWidth="1"/>
  </cols>
  <sheetData>
    <row r="1" spans="1:22" ht="38.25" x14ac:dyDescent="0.3">
      <c r="A1" s="90" t="s">
        <v>78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22" x14ac:dyDescent="0.3">
      <c r="A2" s="125" t="s">
        <v>96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</row>
    <row r="3" spans="1:22" x14ac:dyDescent="0.3">
      <c r="A3" s="125" t="s">
        <v>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" x14ac:dyDescent="0.3">
      <c r="A4" s="125" t="s">
        <v>98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</row>
    <row r="5" spans="1:22" x14ac:dyDescent="0.3">
      <c r="A5" s="125" t="s">
        <v>71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</row>
    <row r="6" spans="1:22" x14ac:dyDescent="0.3">
      <c r="A6" s="87" t="s">
        <v>0</v>
      </c>
      <c r="B6" s="95" t="s">
        <v>1</v>
      </c>
      <c r="C6" s="51" t="s">
        <v>2</v>
      </c>
      <c r="D6" s="52"/>
      <c r="E6" s="52"/>
      <c r="F6" s="52"/>
      <c r="G6" s="53"/>
      <c r="H6" s="67" t="s">
        <v>100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91" t="s">
        <v>75</v>
      </c>
    </row>
    <row r="7" spans="1:22" x14ac:dyDescent="0.3">
      <c r="A7" s="88"/>
      <c r="B7" s="96"/>
      <c r="C7" s="54"/>
      <c r="D7" s="55"/>
      <c r="E7" s="55"/>
      <c r="F7" s="55"/>
      <c r="G7" s="56"/>
      <c r="H7" s="83" t="s">
        <v>76</v>
      </c>
      <c r="I7" s="84"/>
      <c r="J7" s="85"/>
      <c r="K7" s="77" t="s">
        <v>77</v>
      </c>
      <c r="L7" s="78"/>
      <c r="M7" s="78"/>
      <c r="N7" s="78"/>
      <c r="O7" s="78"/>
      <c r="P7" s="78"/>
      <c r="Q7" s="78"/>
      <c r="R7" s="78"/>
      <c r="S7" s="91"/>
    </row>
    <row r="8" spans="1:22" ht="16.5" customHeight="1" x14ac:dyDescent="0.3">
      <c r="A8" s="88"/>
      <c r="B8" s="96"/>
      <c r="C8" s="70" t="s">
        <v>3</v>
      </c>
      <c r="D8" s="71"/>
      <c r="E8" s="72"/>
      <c r="F8" s="73" t="s">
        <v>4</v>
      </c>
      <c r="G8" s="75" t="s">
        <v>93</v>
      </c>
      <c r="H8" s="86" t="s">
        <v>66</v>
      </c>
      <c r="I8" s="86"/>
      <c r="J8" s="86"/>
      <c r="K8" s="82" t="s">
        <v>66</v>
      </c>
      <c r="L8" s="82"/>
      <c r="M8" s="82"/>
      <c r="N8" s="82"/>
      <c r="O8" s="82"/>
      <c r="P8" s="82" t="s">
        <v>65</v>
      </c>
      <c r="Q8" s="82"/>
      <c r="R8" s="82"/>
      <c r="S8" s="91"/>
    </row>
    <row r="9" spans="1:22" x14ac:dyDescent="0.3">
      <c r="A9" s="89"/>
      <c r="B9" s="107"/>
      <c r="C9" s="1" t="s">
        <v>5</v>
      </c>
      <c r="D9" s="1" t="s">
        <v>6</v>
      </c>
      <c r="E9" s="2" t="s">
        <v>7</v>
      </c>
      <c r="F9" s="74"/>
      <c r="G9" s="76"/>
      <c r="H9" s="19" t="s">
        <v>67</v>
      </c>
      <c r="I9" s="19" t="s">
        <v>64</v>
      </c>
      <c r="J9" s="19" t="s">
        <v>68</v>
      </c>
      <c r="K9" s="50" t="s">
        <v>67</v>
      </c>
      <c r="L9" s="50" t="s">
        <v>64</v>
      </c>
      <c r="M9" s="50" t="s">
        <v>68</v>
      </c>
      <c r="N9" s="50" t="s">
        <v>69</v>
      </c>
      <c r="O9" s="50" t="s">
        <v>70</v>
      </c>
      <c r="P9" s="50" t="s">
        <v>62</v>
      </c>
      <c r="Q9" s="50" t="s">
        <v>64</v>
      </c>
      <c r="R9" s="50" t="s">
        <v>63</v>
      </c>
      <c r="S9" s="91"/>
    </row>
    <row r="10" spans="1:22" x14ac:dyDescent="0.3">
      <c r="A10" s="119" t="s">
        <v>29</v>
      </c>
      <c r="B10" s="15" t="s">
        <v>44</v>
      </c>
      <c r="C10" s="41">
        <v>21</v>
      </c>
      <c r="D10" s="41">
        <v>114</v>
      </c>
      <c r="E10" s="25">
        <f>D10/C10</f>
        <v>5.4285714285714288</v>
      </c>
      <c r="F10" s="6">
        <v>17</v>
      </c>
      <c r="G10" s="4">
        <v>70</v>
      </c>
      <c r="H10" s="5">
        <v>2.625</v>
      </c>
      <c r="I10" s="5">
        <v>8.4698795181000008</v>
      </c>
      <c r="J10" s="5">
        <v>5.3805992884982441</v>
      </c>
      <c r="K10" s="5">
        <v>4.75</v>
      </c>
      <c r="L10" s="5">
        <v>6.4637681158999998</v>
      </c>
      <c r="M10" s="5">
        <v>5.5761288215235307</v>
      </c>
      <c r="N10" s="5">
        <v>5.9859154930000003</v>
      </c>
      <c r="O10" s="5">
        <v>6.3717948717999997</v>
      </c>
      <c r="P10" s="5">
        <v>961.88660714289995</v>
      </c>
      <c r="Q10" s="5">
        <v>942.39249482449998</v>
      </c>
      <c r="R10" s="5">
        <v>952.49166070559409</v>
      </c>
      <c r="S10" s="27"/>
    </row>
    <row r="11" spans="1:22" x14ac:dyDescent="0.3">
      <c r="A11" s="120"/>
      <c r="B11" s="15" t="s">
        <v>61</v>
      </c>
      <c r="C11" s="41">
        <v>28</v>
      </c>
      <c r="D11" s="41">
        <v>142</v>
      </c>
      <c r="E11" s="25">
        <f t="shared" ref="E11:E51" si="0">D11/C11</f>
        <v>5.0714285714285712</v>
      </c>
      <c r="F11" s="6">
        <v>27</v>
      </c>
      <c r="G11" s="34">
        <v>69</v>
      </c>
      <c r="H11" s="5">
        <v>2.4666666667000001</v>
      </c>
      <c r="I11" s="5">
        <v>7.7857142857000001</v>
      </c>
      <c r="J11" s="5">
        <v>5.3365905599676049</v>
      </c>
      <c r="K11" s="5">
        <v>2.5208333333000001</v>
      </c>
      <c r="L11" s="5">
        <v>6.5131578947</v>
      </c>
      <c r="M11" s="5">
        <v>5.3119188137956517</v>
      </c>
      <c r="N11" s="5">
        <v>5.8108108107999996</v>
      </c>
      <c r="O11" s="5">
        <v>6.4534883720999998</v>
      </c>
      <c r="P11" s="5">
        <v>987.70052083370001</v>
      </c>
      <c r="Q11" s="5">
        <v>942.28782894779999</v>
      </c>
      <c r="R11" s="5">
        <v>956.70156798440735</v>
      </c>
      <c r="S11" s="27"/>
    </row>
    <row r="12" spans="1:22" x14ac:dyDescent="0.3">
      <c r="A12" s="121"/>
      <c r="B12" s="15" t="s">
        <v>45</v>
      </c>
      <c r="C12" s="41">
        <v>43</v>
      </c>
      <c r="D12" s="41">
        <v>170</v>
      </c>
      <c r="E12" s="25">
        <f t="shared" si="0"/>
        <v>3.9534883720930232</v>
      </c>
      <c r="F12" s="6">
        <v>40</v>
      </c>
      <c r="G12" s="34">
        <v>88</v>
      </c>
      <c r="H12" s="5">
        <v>2.5</v>
      </c>
      <c r="I12" s="5">
        <v>8.6075949367</v>
      </c>
      <c r="J12" s="5">
        <v>5.4205485317947106</v>
      </c>
      <c r="K12" s="5">
        <v>2.7</v>
      </c>
      <c r="L12" s="5">
        <v>6.6511627906999999</v>
      </c>
      <c r="M12" s="5">
        <v>5.2573454206675674</v>
      </c>
      <c r="N12" s="5">
        <v>5.7325581395</v>
      </c>
      <c r="O12" s="5">
        <v>6.2045454544999998</v>
      </c>
      <c r="P12" s="5">
        <v>985.20535714289997</v>
      </c>
      <c r="Q12" s="5">
        <v>940.71802325579995</v>
      </c>
      <c r="R12" s="5">
        <v>957.02946984239748</v>
      </c>
      <c r="S12" s="27"/>
    </row>
    <row r="13" spans="1:22" x14ac:dyDescent="0.3">
      <c r="A13" s="119" t="s">
        <v>30</v>
      </c>
      <c r="B13" s="15" t="s">
        <v>46</v>
      </c>
      <c r="C13" s="41">
        <v>34</v>
      </c>
      <c r="D13" s="41">
        <v>255</v>
      </c>
      <c r="E13" s="25">
        <f t="shared" si="0"/>
        <v>7.5</v>
      </c>
      <c r="F13" s="6">
        <v>31</v>
      </c>
      <c r="G13" s="34">
        <v>81</v>
      </c>
      <c r="H13" s="5">
        <v>1.1739130435</v>
      </c>
      <c r="I13" s="5">
        <v>7.3066666667</v>
      </c>
      <c r="J13" s="5">
        <v>5.1813743145917677</v>
      </c>
      <c r="K13" s="5">
        <v>2.7777777777999999</v>
      </c>
      <c r="L13" s="5">
        <v>5.1971830986000001</v>
      </c>
      <c r="M13" s="5">
        <v>4.5430638191758623</v>
      </c>
      <c r="N13" s="5">
        <v>5.0119047619000003</v>
      </c>
      <c r="O13" s="5">
        <v>5.1805555555999998</v>
      </c>
      <c r="P13" s="5">
        <v>982.94920634890002</v>
      </c>
      <c r="Q13" s="5">
        <v>956.79989939630002</v>
      </c>
      <c r="R13" s="5">
        <v>963.86970549253215</v>
      </c>
      <c r="S13" s="27"/>
    </row>
    <row r="14" spans="1:22" x14ac:dyDescent="0.3">
      <c r="A14" s="120"/>
      <c r="B14" s="15" t="s">
        <v>47</v>
      </c>
      <c r="C14" s="41">
        <v>28</v>
      </c>
      <c r="D14" s="41">
        <v>134</v>
      </c>
      <c r="E14" s="25">
        <f t="shared" si="0"/>
        <v>4.7857142857142856</v>
      </c>
      <c r="F14" s="6">
        <v>24</v>
      </c>
      <c r="G14" s="34">
        <v>72</v>
      </c>
      <c r="H14" s="5">
        <v>2.0128205127999999</v>
      </c>
      <c r="I14" s="5">
        <v>8.875</v>
      </c>
      <c r="J14" s="5">
        <v>5.5677060640425369</v>
      </c>
      <c r="K14" s="5">
        <v>2.4722222222000001</v>
      </c>
      <c r="L14" s="5">
        <v>6.3048780488</v>
      </c>
      <c r="M14" s="5">
        <v>5.1840729879583334</v>
      </c>
      <c r="N14" s="5">
        <v>5.6478873239</v>
      </c>
      <c r="O14" s="5">
        <v>5.96</v>
      </c>
      <c r="P14" s="5">
        <v>988.25347222250002</v>
      </c>
      <c r="Q14" s="5">
        <v>944.65701219489995</v>
      </c>
      <c r="R14" s="5">
        <v>957.03051500007496</v>
      </c>
      <c r="S14" s="27"/>
    </row>
    <row r="15" spans="1:22" x14ac:dyDescent="0.3">
      <c r="A15" s="120"/>
      <c r="B15" s="15" t="s">
        <v>9</v>
      </c>
      <c r="C15" s="41">
        <v>14</v>
      </c>
      <c r="D15" s="41">
        <v>51</v>
      </c>
      <c r="E15" s="25">
        <f t="shared" si="0"/>
        <v>3.6428571428571428</v>
      </c>
      <c r="F15" s="6">
        <v>13</v>
      </c>
      <c r="G15" s="34">
        <v>23</v>
      </c>
      <c r="H15" s="5">
        <v>1.24</v>
      </c>
      <c r="I15" s="5">
        <v>7.5542168675000001</v>
      </c>
      <c r="J15" s="5">
        <v>3.3108588322235297</v>
      </c>
      <c r="K15" s="5">
        <v>1.875</v>
      </c>
      <c r="L15" s="5">
        <v>4.5540540540999999</v>
      </c>
      <c r="M15" s="5">
        <v>3.6503037458750001</v>
      </c>
      <c r="N15" s="5">
        <v>4.2758620690000004</v>
      </c>
      <c r="O15" s="5">
        <v>4.3684210525999996</v>
      </c>
      <c r="P15" s="5">
        <v>995.046875</v>
      </c>
      <c r="Q15" s="5">
        <v>964.57263513459998</v>
      </c>
      <c r="R15" s="5">
        <v>974.84763484414611</v>
      </c>
      <c r="S15" s="27"/>
    </row>
    <row r="16" spans="1:22" x14ac:dyDescent="0.3">
      <c r="A16" s="120"/>
      <c r="B16" s="15" t="s">
        <v>10</v>
      </c>
      <c r="C16" s="41">
        <v>11</v>
      </c>
      <c r="D16" s="41">
        <v>67</v>
      </c>
      <c r="E16" s="25">
        <f t="shared" si="0"/>
        <v>6.0909090909090908</v>
      </c>
      <c r="F16" s="6">
        <v>11</v>
      </c>
      <c r="G16" s="34">
        <v>21</v>
      </c>
      <c r="H16" s="5">
        <v>2.25</v>
      </c>
      <c r="I16" s="5">
        <v>7.7972972973000001</v>
      </c>
      <c r="J16" s="5">
        <v>4.2125457102402999</v>
      </c>
      <c r="K16" s="5">
        <v>3.0689655172000001</v>
      </c>
      <c r="L16" s="5">
        <v>4.8055555555999998</v>
      </c>
      <c r="M16" s="5">
        <v>4.1095894714818177</v>
      </c>
      <c r="N16" s="5">
        <v>4.5</v>
      </c>
      <c r="O16" s="5">
        <v>4.7857142857000001</v>
      </c>
      <c r="P16" s="5">
        <v>981.46551724189999</v>
      </c>
      <c r="Q16" s="5">
        <v>961.38180555509996</v>
      </c>
      <c r="R16" s="5">
        <v>969.37218599569098</v>
      </c>
      <c r="S16" s="27"/>
    </row>
    <row r="17" spans="1:19" x14ac:dyDescent="0.3">
      <c r="A17" s="121"/>
      <c r="B17" s="15" t="s">
        <v>31</v>
      </c>
      <c r="C17" s="41">
        <v>15</v>
      </c>
      <c r="D17" s="41">
        <v>50</v>
      </c>
      <c r="E17" s="25">
        <f t="shared" si="0"/>
        <v>3.3333333333333335</v>
      </c>
      <c r="F17" s="6">
        <v>14</v>
      </c>
      <c r="G17" s="34">
        <v>29</v>
      </c>
      <c r="H17" s="5">
        <v>2.8235294118000001</v>
      </c>
      <c r="I17" s="5">
        <v>8.9444444444000002</v>
      </c>
      <c r="J17" s="5">
        <v>6.0876340249859986</v>
      </c>
      <c r="K17" s="5">
        <v>2.8235294118000001</v>
      </c>
      <c r="L17" s="5">
        <v>7.4642857142999999</v>
      </c>
      <c r="M17" s="5">
        <v>6.0363586775384626</v>
      </c>
      <c r="N17" s="5">
        <v>6.8255813953000004</v>
      </c>
      <c r="O17" s="5">
        <v>7.3557692308</v>
      </c>
      <c r="P17" s="5">
        <v>983.80021008369999</v>
      </c>
      <c r="Q17" s="5">
        <v>931.46874999980002</v>
      </c>
      <c r="R17" s="5">
        <v>946.1690056861928</v>
      </c>
      <c r="S17" s="27"/>
    </row>
    <row r="18" spans="1:19" x14ac:dyDescent="0.3">
      <c r="A18" s="119" t="s">
        <v>32</v>
      </c>
      <c r="B18" s="15" t="s">
        <v>48</v>
      </c>
      <c r="C18" s="41">
        <v>30</v>
      </c>
      <c r="D18" s="41">
        <v>121</v>
      </c>
      <c r="E18" s="25">
        <f t="shared" si="0"/>
        <v>4.0333333333333332</v>
      </c>
      <c r="F18" s="6">
        <v>25</v>
      </c>
      <c r="G18" s="34">
        <v>81</v>
      </c>
      <c r="H18" s="5">
        <v>1.75</v>
      </c>
      <c r="I18" s="5">
        <v>8.5277777778000008</v>
      </c>
      <c r="J18" s="5">
        <v>5.4869354593793389</v>
      </c>
      <c r="K18" s="5">
        <v>3.6875</v>
      </c>
      <c r="L18" s="5">
        <v>6.8358208955000004</v>
      </c>
      <c r="M18" s="5">
        <v>5.3691810656999994</v>
      </c>
      <c r="N18" s="5">
        <v>5.6913580247000004</v>
      </c>
      <c r="O18" s="5">
        <v>6.4666666667000001</v>
      </c>
      <c r="P18" s="5">
        <v>974.4296875</v>
      </c>
      <c r="Q18" s="5">
        <v>938.61753731370004</v>
      </c>
      <c r="R18" s="5">
        <v>954.57027966338399</v>
      </c>
      <c r="S18" s="27"/>
    </row>
    <row r="19" spans="1:19" x14ac:dyDescent="0.3">
      <c r="A19" s="120"/>
      <c r="B19" s="15" t="s">
        <v>49</v>
      </c>
      <c r="C19" s="41">
        <v>28</v>
      </c>
      <c r="D19" s="41">
        <v>115</v>
      </c>
      <c r="E19" s="25">
        <f t="shared" si="0"/>
        <v>4.1071428571428568</v>
      </c>
      <c r="F19" s="6">
        <v>26</v>
      </c>
      <c r="G19" s="34">
        <v>86</v>
      </c>
      <c r="H19" s="5">
        <v>2.5652173913</v>
      </c>
      <c r="I19" s="5">
        <v>7.9861111110999996</v>
      </c>
      <c r="J19" s="5">
        <v>5.4159950507973909</v>
      </c>
      <c r="K19" s="5">
        <v>4.2023809524000004</v>
      </c>
      <c r="L19" s="5">
        <v>7.9861111110999996</v>
      </c>
      <c r="M19" s="5">
        <v>5.9788651344919996</v>
      </c>
      <c r="N19" s="5">
        <v>6.7777777777999999</v>
      </c>
      <c r="O19" s="5">
        <v>7.8333333332999997</v>
      </c>
      <c r="P19" s="5">
        <v>968.57291666649996</v>
      </c>
      <c r="Q19" s="5">
        <v>924.74584325410001</v>
      </c>
      <c r="R19" s="5">
        <v>947.860127792958</v>
      </c>
      <c r="S19" s="27"/>
    </row>
    <row r="20" spans="1:19" x14ac:dyDescent="0.3">
      <c r="A20" s="120"/>
      <c r="B20" s="15" t="s">
        <v>86</v>
      </c>
      <c r="C20" s="41">
        <v>13</v>
      </c>
      <c r="D20" s="41">
        <v>72</v>
      </c>
      <c r="E20" s="25">
        <f t="shared" si="0"/>
        <v>5.5384615384615383</v>
      </c>
      <c r="F20" s="6">
        <v>13</v>
      </c>
      <c r="G20" s="34">
        <v>43</v>
      </c>
      <c r="H20" s="5">
        <v>1.6296296295999999</v>
      </c>
      <c r="I20" s="5">
        <v>8.6034482758999999</v>
      </c>
      <c r="J20" s="5">
        <v>4.8226871688083328</v>
      </c>
      <c r="K20" s="5">
        <v>1.6296296295999999</v>
      </c>
      <c r="L20" s="5">
        <v>5.4864864864999996</v>
      </c>
      <c r="M20" s="5">
        <v>4.7597971882769237</v>
      </c>
      <c r="N20" s="5">
        <v>5.3061224490000001</v>
      </c>
      <c r="O20" s="5">
        <v>5.4246575341999996</v>
      </c>
      <c r="P20" s="5">
        <v>997.38082010619996</v>
      </c>
      <c r="Q20" s="5">
        <v>953.96621621609995</v>
      </c>
      <c r="R20" s="5">
        <v>962.17175753280765</v>
      </c>
      <c r="S20" s="27"/>
    </row>
    <row r="21" spans="1:19" x14ac:dyDescent="0.3">
      <c r="A21" s="120"/>
      <c r="B21" s="15" t="s">
        <v>11</v>
      </c>
      <c r="C21" s="41">
        <v>10</v>
      </c>
      <c r="D21" s="41">
        <v>55</v>
      </c>
      <c r="E21" s="25">
        <f t="shared" si="0"/>
        <v>5.5</v>
      </c>
      <c r="F21" s="6">
        <v>10</v>
      </c>
      <c r="G21" s="34">
        <v>8</v>
      </c>
      <c r="H21" s="5">
        <v>1.2903225806</v>
      </c>
      <c r="I21" s="5">
        <v>7.56</v>
      </c>
      <c r="J21" s="5">
        <v>3.2282078095745459</v>
      </c>
      <c r="K21" s="5">
        <v>2.3611111111</v>
      </c>
      <c r="L21" s="5">
        <v>3.5</v>
      </c>
      <c r="M21" s="5">
        <v>3.0767940780857144</v>
      </c>
      <c r="N21" s="5">
        <v>3.48</v>
      </c>
      <c r="O21" s="5">
        <v>3.5</v>
      </c>
      <c r="P21" s="5">
        <v>989.51736111119999</v>
      </c>
      <c r="Q21" s="5">
        <v>976.04761904750001</v>
      </c>
      <c r="R21" s="5">
        <v>980.70290810560005</v>
      </c>
      <c r="S21" s="27"/>
    </row>
    <row r="22" spans="1:19" x14ac:dyDescent="0.3">
      <c r="A22" s="120" t="s">
        <v>33</v>
      </c>
      <c r="B22" s="15" t="s">
        <v>34</v>
      </c>
      <c r="C22" s="41">
        <v>22</v>
      </c>
      <c r="D22" s="41">
        <v>80</v>
      </c>
      <c r="E22" s="25">
        <f t="shared" si="0"/>
        <v>3.6363636363636362</v>
      </c>
      <c r="F22" s="6">
        <v>17</v>
      </c>
      <c r="G22" s="34">
        <v>57</v>
      </c>
      <c r="H22" s="5">
        <v>2.4722222222000001</v>
      </c>
      <c r="I22" s="5">
        <v>7.8428571428999998</v>
      </c>
      <c r="J22" s="5">
        <v>5.6767339976175011</v>
      </c>
      <c r="K22" s="5">
        <v>4.1666666667000003</v>
      </c>
      <c r="L22" s="5">
        <v>7.3896103895999996</v>
      </c>
      <c r="M22" s="5">
        <v>6.2436098047624995</v>
      </c>
      <c r="N22" s="5">
        <v>6.953125</v>
      </c>
      <c r="O22" s="5">
        <v>7.3648648649000004</v>
      </c>
      <c r="P22" s="5">
        <v>968.30916666630003</v>
      </c>
      <c r="Q22" s="5">
        <v>918.56190476200004</v>
      </c>
      <c r="R22" s="5">
        <v>942.51314657200589</v>
      </c>
      <c r="S22" s="27"/>
    </row>
    <row r="23" spans="1:19" x14ac:dyDescent="0.3">
      <c r="A23" s="120"/>
      <c r="B23" s="15" t="s">
        <v>50</v>
      </c>
      <c r="C23" s="41">
        <v>30</v>
      </c>
      <c r="D23" s="41">
        <v>170</v>
      </c>
      <c r="E23" s="25">
        <f t="shared" si="0"/>
        <v>5.666666666666667</v>
      </c>
      <c r="F23" s="6">
        <v>28</v>
      </c>
      <c r="G23" s="34">
        <v>72</v>
      </c>
      <c r="H23" s="5">
        <v>1.65625</v>
      </c>
      <c r="I23" s="5">
        <v>8.453125</v>
      </c>
      <c r="J23" s="5">
        <v>5.7807626944094128</v>
      </c>
      <c r="K23" s="5">
        <v>1.65625</v>
      </c>
      <c r="L23" s="5">
        <v>6.2</v>
      </c>
      <c r="M23" s="5">
        <v>5.3448766492821429</v>
      </c>
      <c r="N23" s="5">
        <v>5.8676470588000003</v>
      </c>
      <c r="O23" s="5">
        <v>6.0617283951000003</v>
      </c>
      <c r="P23" s="5">
        <v>997.53515625</v>
      </c>
      <c r="Q23" s="5">
        <v>945.52</v>
      </c>
      <c r="R23" s="5">
        <v>955.2150383185035</v>
      </c>
      <c r="S23" s="27"/>
    </row>
    <row r="24" spans="1:19" x14ac:dyDescent="0.3">
      <c r="A24" s="120"/>
      <c r="B24" s="15" t="s">
        <v>35</v>
      </c>
      <c r="C24" s="41">
        <v>25</v>
      </c>
      <c r="D24" s="41">
        <v>148</v>
      </c>
      <c r="E24" s="25">
        <f t="shared" si="0"/>
        <v>5.92</v>
      </c>
      <c r="F24" s="6">
        <v>23</v>
      </c>
      <c r="G24" s="34">
        <v>62</v>
      </c>
      <c r="H24" s="5">
        <v>1.2666666666999999</v>
      </c>
      <c r="I24" s="5">
        <v>8.8529411764999999</v>
      </c>
      <c r="J24" s="5">
        <v>4.8462328766378384</v>
      </c>
      <c r="K24" s="5">
        <v>1.2666666666999999</v>
      </c>
      <c r="L24" s="5">
        <v>5.2153846153999996</v>
      </c>
      <c r="M24" s="5">
        <v>4.2659031861869563</v>
      </c>
      <c r="N24" s="5">
        <v>4.8831168830999996</v>
      </c>
      <c r="O24" s="5">
        <v>5.0151515152000004</v>
      </c>
      <c r="P24" s="5">
        <v>1001.9666666662999</v>
      </c>
      <c r="Q24" s="5">
        <v>957.04999999979998</v>
      </c>
      <c r="R24" s="5">
        <v>967.73799100868268</v>
      </c>
      <c r="S24" s="27"/>
    </row>
    <row r="25" spans="1:19" x14ac:dyDescent="0.3">
      <c r="A25" s="120"/>
      <c r="B25" s="15" t="s">
        <v>36</v>
      </c>
      <c r="C25" s="41">
        <v>15</v>
      </c>
      <c r="D25" s="41">
        <v>73</v>
      </c>
      <c r="E25" s="25">
        <f t="shared" si="0"/>
        <v>4.8666666666666663</v>
      </c>
      <c r="F25" s="6">
        <v>12</v>
      </c>
      <c r="G25" s="34">
        <v>46</v>
      </c>
      <c r="H25" s="5">
        <v>1.6129032258</v>
      </c>
      <c r="I25" s="5">
        <v>8.2205882352999993</v>
      </c>
      <c r="J25" s="5">
        <v>5.9034721498369871</v>
      </c>
      <c r="K25" s="5">
        <v>3.0625</v>
      </c>
      <c r="L25" s="5">
        <v>7.1066666666999998</v>
      </c>
      <c r="M25" s="5">
        <v>5.4152007583666659</v>
      </c>
      <c r="N25" s="5">
        <v>6.2738095237999998</v>
      </c>
      <c r="O25" s="5">
        <v>6.9333333333000002</v>
      </c>
      <c r="P25" s="5">
        <v>981.5390625</v>
      </c>
      <c r="Q25" s="5">
        <v>934.30833333370003</v>
      </c>
      <c r="R25" s="5">
        <v>954.45459137359182</v>
      </c>
      <c r="S25" s="27"/>
    </row>
    <row r="26" spans="1:19" x14ac:dyDescent="0.3">
      <c r="A26" s="120"/>
      <c r="B26" s="15" t="s">
        <v>51</v>
      </c>
      <c r="C26" s="41">
        <v>47</v>
      </c>
      <c r="D26" s="41">
        <v>133</v>
      </c>
      <c r="E26" s="25">
        <f t="shared" si="0"/>
        <v>2.8297872340425534</v>
      </c>
      <c r="F26" s="6">
        <v>37</v>
      </c>
      <c r="G26" s="34">
        <v>86</v>
      </c>
      <c r="H26" s="5">
        <v>3.5625</v>
      </c>
      <c r="I26" s="5">
        <v>8.3428571428999998</v>
      </c>
      <c r="J26" s="5">
        <v>5.5973078744112748</v>
      </c>
      <c r="K26" s="5">
        <v>3.7124999999999999</v>
      </c>
      <c r="L26" s="5">
        <v>8.3428571428999998</v>
      </c>
      <c r="M26" s="5">
        <v>6.1955325449264711</v>
      </c>
      <c r="N26" s="5">
        <v>6.6666666667000003</v>
      </c>
      <c r="O26" s="5">
        <v>7.7</v>
      </c>
      <c r="P26" s="5">
        <v>974.14531250000005</v>
      </c>
      <c r="Q26" s="5">
        <v>919.1875</v>
      </c>
      <c r="R26" s="5">
        <v>947.14652966957021</v>
      </c>
      <c r="S26" s="27"/>
    </row>
    <row r="27" spans="1:19" x14ac:dyDescent="0.3">
      <c r="A27" s="120"/>
      <c r="B27" s="15" t="s">
        <v>52</v>
      </c>
      <c r="C27" s="41">
        <v>55</v>
      </c>
      <c r="D27" s="41">
        <v>248</v>
      </c>
      <c r="E27" s="25">
        <f t="shared" si="0"/>
        <v>4.5090909090909088</v>
      </c>
      <c r="F27" s="6">
        <v>50</v>
      </c>
      <c r="G27" s="34">
        <v>112</v>
      </c>
      <c r="H27" s="5">
        <v>1.2727272727000001</v>
      </c>
      <c r="I27" s="5">
        <v>8.453125</v>
      </c>
      <c r="J27" s="5">
        <v>5.7112821965056417</v>
      </c>
      <c r="K27" s="5">
        <v>1.72</v>
      </c>
      <c r="L27" s="5">
        <v>6.375</v>
      </c>
      <c r="M27" s="5">
        <v>5.0609574768375021</v>
      </c>
      <c r="N27" s="5">
        <v>5.7848101266</v>
      </c>
      <c r="O27" s="5">
        <v>6.1228070174999996</v>
      </c>
      <c r="P27" s="5">
        <v>996.81</v>
      </c>
      <c r="Q27" s="5">
        <v>943.859375</v>
      </c>
      <c r="R27" s="5">
        <v>958.09643959103983</v>
      </c>
      <c r="S27" s="27"/>
    </row>
    <row r="28" spans="1:19" x14ac:dyDescent="0.3">
      <c r="A28" s="120"/>
      <c r="B28" s="15" t="s">
        <v>60</v>
      </c>
      <c r="C28" s="41">
        <v>29</v>
      </c>
      <c r="D28" s="41">
        <v>100</v>
      </c>
      <c r="E28" s="25">
        <f t="shared" si="0"/>
        <v>3.4482758620689653</v>
      </c>
      <c r="F28" s="6">
        <v>28</v>
      </c>
      <c r="G28" s="34">
        <v>58</v>
      </c>
      <c r="H28" s="5">
        <v>2.6904761905000001</v>
      </c>
      <c r="I28" s="5">
        <v>8.4050632910999994</v>
      </c>
      <c r="J28" s="5">
        <v>5.4883995696459991</v>
      </c>
      <c r="K28" s="5">
        <v>3.4666666667000001</v>
      </c>
      <c r="L28" s="5">
        <v>7.2166666667000001</v>
      </c>
      <c r="M28" s="5">
        <v>5.7291956721481476</v>
      </c>
      <c r="N28" s="5">
        <v>6.375</v>
      </c>
      <c r="O28" s="5">
        <v>6.8219178082000003</v>
      </c>
      <c r="P28" s="5">
        <v>976.94166666629997</v>
      </c>
      <c r="Q28" s="5">
        <v>933.95541666630004</v>
      </c>
      <c r="R28" s="5">
        <v>949.56020639969245</v>
      </c>
      <c r="S28" s="27"/>
    </row>
    <row r="29" spans="1:19" x14ac:dyDescent="0.3">
      <c r="A29" s="120"/>
      <c r="B29" s="15" t="s">
        <v>12</v>
      </c>
      <c r="C29" s="41">
        <v>12</v>
      </c>
      <c r="D29" s="41">
        <v>50</v>
      </c>
      <c r="E29" s="25">
        <f t="shared" si="0"/>
        <v>4.166666666666667</v>
      </c>
      <c r="F29" s="6">
        <v>12</v>
      </c>
      <c r="G29" s="34">
        <v>26</v>
      </c>
      <c r="H29" s="5">
        <v>2.4666666667000001</v>
      </c>
      <c r="I29" s="5">
        <v>7.5949367088999997</v>
      </c>
      <c r="J29" s="5">
        <v>4.3725315085579979</v>
      </c>
      <c r="K29" s="5">
        <v>2.75</v>
      </c>
      <c r="L29" s="5">
        <v>5.734375</v>
      </c>
      <c r="M29" s="5">
        <v>4.3676034034000004</v>
      </c>
      <c r="N29" s="5">
        <v>4.8289473683999997</v>
      </c>
      <c r="O29" s="5">
        <v>5.6315789474000004</v>
      </c>
      <c r="P29" s="5">
        <v>985.09375</v>
      </c>
      <c r="Q29" s="5">
        <v>951.146484375</v>
      </c>
      <c r="R29" s="5">
        <v>967.20782185375003</v>
      </c>
      <c r="S29" s="27"/>
    </row>
    <row r="30" spans="1:19" x14ac:dyDescent="0.3">
      <c r="A30" s="120"/>
      <c r="B30" s="15" t="s">
        <v>37</v>
      </c>
      <c r="C30" s="41">
        <v>15</v>
      </c>
      <c r="D30" s="41">
        <v>42</v>
      </c>
      <c r="E30" s="25">
        <f t="shared" si="0"/>
        <v>2.8</v>
      </c>
      <c r="F30" s="6">
        <v>5</v>
      </c>
      <c r="G30" s="34">
        <v>27</v>
      </c>
      <c r="H30" s="5">
        <v>1.9285714286</v>
      </c>
      <c r="I30" s="5">
        <v>8.1818181818000006</v>
      </c>
      <c r="J30" s="5">
        <v>5.3674371186071435</v>
      </c>
      <c r="K30" s="5">
        <v>4.9696969697000002</v>
      </c>
      <c r="L30" s="5">
        <v>7.6351351350999996</v>
      </c>
      <c r="M30" s="5">
        <v>6.4762997542999994</v>
      </c>
      <c r="N30" s="5">
        <v>7.1666666667000003</v>
      </c>
      <c r="O30" s="5">
        <v>7.6351351350999996</v>
      </c>
      <c r="P30" s="5">
        <v>959.84469696969995</v>
      </c>
      <c r="Q30" s="5">
        <v>928.85533783819994</v>
      </c>
      <c r="R30" s="5">
        <v>942.57309029484009</v>
      </c>
      <c r="S30" s="27"/>
    </row>
    <row r="31" spans="1:19" x14ac:dyDescent="0.3">
      <c r="A31" s="120"/>
      <c r="B31" s="15" t="s">
        <v>79</v>
      </c>
      <c r="C31" s="41">
        <v>30</v>
      </c>
      <c r="D31" s="41">
        <v>49</v>
      </c>
      <c r="E31" s="25">
        <f t="shared" si="0"/>
        <v>1.6333333333333333</v>
      </c>
      <c r="F31" s="6">
        <v>9</v>
      </c>
      <c r="G31" s="34">
        <v>19</v>
      </c>
      <c r="H31" s="5">
        <v>2.375</v>
      </c>
      <c r="I31" s="5">
        <v>8.2769230768999993</v>
      </c>
      <c r="J31" s="5">
        <v>5.8578008116632647</v>
      </c>
      <c r="K31" s="5">
        <v>3.5</v>
      </c>
      <c r="L31" s="5">
        <v>7.5657894736999998</v>
      </c>
      <c r="M31" s="5">
        <v>5.8933701244999988</v>
      </c>
      <c r="N31" s="5">
        <v>6.6315789474000004</v>
      </c>
      <c r="O31" s="5">
        <v>7.5657894736999998</v>
      </c>
      <c r="P31" s="5">
        <v>976.5625</v>
      </c>
      <c r="Q31" s="5">
        <v>929.98414473670005</v>
      </c>
      <c r="R31" s="5">
        <v>947.48886721477777</v>
      </c>
      <c r="S31" s="27"/>
    </row>
    <row r="32" spans="1:19" x14ac:dyDescent="0.3">
      <c r="A32" s="120" t="s">
        <v>38</v>
      </c>
      <c r="B32" s="15" t="s">
        <v>53</v>
      </c>
      <c r="C32" s="41">
        <v>44</v>
      </c>
      <c r="D32" s="41">
        <v>218</v>
      </c>
      <c r="E32" s="25">
        <f t="shared" si="0"/>
        <v>4.9545454545454541</v>
      </c>
      <c r="F32" s="6">
        <v>38</v>
      </c>
      <c r="G32" s="34">
        <v>121</v>
      </c>
      <c r="H32" s="5">
        <v>1.7826086957</v>
      </c>
      <c r="I32" s="5">
        <v>8.4482758620999991</v>
      </c>
      <c r="J32" s="5">
        <v>5.2239026904981634</v>
      </c>
      <c r="K32" s="5">
        <v>2.6</v>
      </c>
      <c r="L32" s="5">
        <v>6.3333333332999997</v>
      </c>
      <c r="M32" s="5">
        <v>5.0448851052583334</v>
      </c>
      <c r="N32" s="5">
        <v>5.6341463415000002</v>
      </c>
      <c r="O32" s="5">
        <v>6.2159090909000003</v>
      </c>
      <c r="P32" s="5">
        <v>986.8</v>
      </c>
      <c r="Q32" s="5">
        <v>944.20897817449998</v>
      </c>
      <c r="R32" s="5">
        <v>958.91932398162373</v>
      </c>
      <c r="S32" s="27"/>
    </row>
    <row r="33" spans="1:19" x14ac:dyDescent="0.3">
      <c r="A33" s="120"/>
      <c r="B33" s="15" t="s">
        <v>54</v>
      </c>
      <c r="C33" s="41">
        <v>29</v>
      </c>
      <c r="D33" s="41">
        <v>139</v>
      </c>
      <c r="E33" s="25">
        <f t="shared" si="0"/>
        <v>4.7931034482758621</v>
      </c>
      <c r="F33" s="6">
        <v>27</v>
      </c>
      <c r="G33" s="34">
        <v>65</v>
      </c>
      <c r="H33" s="5">
        <v>1.8</v>
      </c>
      <c r="I33" s="5">
        <v>8.4886363635999995</v>
      </c>
      <c r="J33" s="5">
        <v>6.2095561685798542</v>
      </c>
      <c r="K33" s="5">
        <v>2.5</v>
      </c>
      <c r="L33" s="5">
        <v>7.2278481013000002</v>
      </c>
      <c r="M33" s="5">
        <v>6.0315504633333328</v>
      </c>
      <c r="N33" s="5">
        <v>6.6470588235000001</v>
      </c>
      <c r="O33" s="5">
        <v>6.9848484847999996</v>
      </c>
      <c r="P33" s="5">
        <v>987.9375</v>
      </c>
      <c r="Q33" s="5">
        <v>934.06056982380005</v>
      </c>
      <c r="R33" s="5">
        <v>947.46124575472584</v>
      </c>
      <c r="S33" s="27"/>
    </row>
    <row r="34" spans="1:19" x14ac:dyDescent="0.3">
      <c r="A34" s="120" t="s">
        <v>39</v>
      </c>
      <c r="B34" s="15" t="s">
        <v>13</v>
      </c>
      <c r="C34" s="41">
        <v>16</v>
      </c>
      <c r="D34" s="41">
        <v>68</v>
      </c>
      <c r="E34" s="25">
        <f t="shared" si="0"/>
        <v>4.25</v>
      </c>
      <c r="F34" s="6">
        <v>16</v>
      </c>
      <c r="G34" s="34">
        <v>28</v>
      </c>
      <c r="H34" s="5">
        <v>1</v>
      </c>
      <c r="I34" s="5">
        <v>7.9722222222000001</v>
      </c>
      <c r="J34" s="5">
        <v>5.7395758391397074</v>
      </c>
      <c r="K34" s="5">
        <v>2.6086956522000002</v>
      </c>
      <c r="L34" s="5">
        <v>6.4788732394000004</v>
      </c>
      <c r="M34" s="5">
        <v>5.3530026332812506</v>
      </c>
      <c r="N34" s="5">
        <v>5.9487179486999997</v>
      </c>
      <c r="O34" s="5">
        <v>6.4512195121999998</v>
      </c>
      <c r="P34" s="5">
        <v>986.70108695620002</v>
      </c>
      <c r="Q34" s="5">
        <v>942.67781690180004</v>
      </c>
      <c r="R34" s="5">
        <v>954.22745218927503</v>
      </c>
      <c r="S34" s="27"/>
    </row>
    <row r="35" spans="1:19" x14ac:dyDescent="0.3">
      <c r="A35" s="120"/>
      <c r="B35" s="15" t="s">
        <v>72</v>
      </c>
      <c r="C35" s="41">
        <v>15</v>
      </c>
      <c r="D35" s="41">
        <v>81</v>
      </c>
      <c r="E35" s="25">
        <f t="shared" si="0"/>
        <v>5.4</v>
      </c>
      <c r="F35" s="6">
        <v>15</v>
      </c>
      <c r="G35" s="34">
        <v>54</v>
      </c>
      <c r="H35" s="5">
        <v>2.1666666666999999</v>
      </c>
      <c r="I35" s="5">
        <v>7.375</v>
      </c>
      <c r="J35" s="5">
        <v>4.5036732215012361</v>
      </c>
      <c r="K35" s="5">
        <v>3.5882352941</v>
      </c>
      <c r="L35" s="5">
        <v>6.0740740741000003</v>
      </c>
      <c r="M35" s="5">
        <v>5.1158986027214288</v>
      </c>
      <c r="N35" s="5">
        <v>5.6086956521999998</v>
      </c>
      <c r="O35" s="5">
        <v>5.75</v>
      </c>
      <c r="P35" s="5">
        <v>975.55882352959998</v>
      </c>
      <c r="Q35" s="5">
        <v>947.28240740709998</v>
      </c>
      <c r="R35" s="5">
        <v>957.54449554873338</v>
      </c>
      <c r="S35" s="27"/>
    </row>
    <row r="36" spans="1:19" x14ac:dyDescent="0.3">
      <c r="A36" s="120"/>
      <c r="B36" s="15" t="s">
        <v>14</v>
      </c>
      <c r="C36" s="41">
        <v>19</v>
      </c>
      <c r="D36" s="41">
        <v>79</v>
      </c>
      <c r="E36" s="25">
        <f t="shared" si="0"/>
        <v>4.1578947368421053</v>
      </c>
      <c r="F36" s="6">
        <v>15</v>
      </c>
      <c r="G36" s="34">
        <v>59</v>
      </c>
      <c r="H36" s="5">
        <v>3.7307692308</v>
      </c>
      <c r="I36" s="5">
        <v>8.1891891892000004</v>
      </c>
      <c r="J36" s="5">
        <v>5.7754330569278469</v>
      </c>
      <c r="K36" s="5">
        <v>4.75</v>
      </c>
      <c r="L36" s="5">
        <v>8.1891891892000004</v>
      </c>
      <c r="M36" s="5">
        <v>6.4600183889999991</v>
      </c>
      <c r="N36" s="5">
        <v>6.9866666666999997</v>
      </c>
      <c r="O36" s="5">
        <v>7.32</v>
      </c>
      <c r="P36" s="5">
        <v>962.34375</v>
      </c>
      <c r="Q36" s="5">
        <v>892.21428571410001</v>
      </c>
      <c r="R36" s="5">
        <v>935.8188107785935</v>
      </c>
      <c r="S36" s="27"/>
    </row>
    <row r="37" spans="1:19" x14ac:dyDescent="0.3">
      <c r="A37" s="120"/>
      <c r="B37" s="15" t="s">
        <v>80</v>
      </c>
      <c r="C37" s="41">
        <v>21</v>
      </c>
      <c r="D37" s="41">
        <v>34</v>
      </c>
      <c r="E37" s="25">
        <f t="shared" si="0"/>
        <v>1.6190476190476191</v>
      </c>
      <c r="F37" s="6">
        <v>6</v>
      </c>
      <c r="G37" s="34">
        <v>13</v>
      </c>
      <c r="H37" s="5">
        <v>3.9285714286000002</v>
      </c>
      <c r="I37" s="5">
        <v>8.3833333332999995</v>
      </c>
      <c r="J37" s="5">
        <v>5.658154724591177</v>
      </c>
      <c r="K37" s="5">
        <v>5.6875</v>
      </c>
      <c r="L37" s="5">
        <v>6.5205479451999997</v>
      </c>
      <c r="M37" s="5">
        <v>6.2596445950000001</v>
      </c>
      <c r="N37" s="5">
        <v>6.5138888889000004</v>
      </c>
      <c r="O37" s="5">
        <v>6.5205479451999997</v>
      </c>
      <c r="P37" s="5">
        <v>951.6796875</v>
      </c>
      <c r="Q37" s="5">
        <v>941.27951388880001</v>
      </c>
      <c r="R37" s="5">
        <v>945.00487606521676</v>
      </c>
      <c r="S37" s="27"/>
    </row>
    <row r="38" spans="1:19" x14ac:dyDescent="0.3">
      <c r="A38" s="120"/>
      <c r="B38" s="15" t="s">
        <v>81</v>
      </c>
      <c r="C38" s="41">
        <v>5</v>
      </c>
      <c r="D38" s="41">
        <v>24</v>
      </c>
      <c r="E38" s="25">
        <f t="shared" si="0"/>
        <v>4.8</v>
      </c>
      <c r="F38" s="6">
        <v>5</v>
      </c>
      <c r="G38" s="34">
        <v>14</v>
      </c>
      <c r="H38" s="5">
        <v>5.0166666666999999</v>
      </c>
      <c r="I38" s="5">
        <v>8.6744186046999996</v>
      </c>
      <c r="J38" s="5">
        <v>5.9206927752666667</v>
      </c>
      <c r="K38" s="5">
        <v>5.0166666666999999</v>
      </c>
      <c r="L38" s="5">
        <v>6.4324324323999997</v>
      </c>
      <c r="M38" s="5">
        <v>5.8266372289800001</v>
      </c>
      <c r="N38" s="5">
        <v>6.2558139534999997</v>
      </c>
      <c r="O38" s="5">
        <v>6.4324324323999997</v>
      </c>
      <c r="P38" s="5">
        <v>959.31041666629994</v>
      </c>
      <c r="Q38" s="5">
        <v>942.74893822440004</v>
      </c>
      <c r="R38" s="5">
        <v>949.57385866321999</v>
      </c>
      <c r="S38" s="27"/>
    </row>
    <row r="39" spans="1:19" x14ac:dyDescent="0.3">
      <c r="A39" s="120"/>
      <c r="B39" s="15" t="s">
        <v>55</v>
      </c>
      <c r="C39" s="41">
        <v>23</v>
      </c>
      <c r="D39" s="41">
        <v>103</v>
      </c>
      <c r="E39" s="25">
        <f t="shared" si="0"/>
        <v>4.4782608695652177</v>
      </c>
      <c r="F39" s="6">
        <v>23</v>
      </c>
      <c r="G39" s="34">
        <v>55</v>
      </c>
      <c r="H39" s="5">
        <v>1.3611111111</v>
      </c>
      <c r="I39" s="5">
        <v>8.3333333333000006</v>
      </c>
      <c r="J39" s="5">
        <v>4.7798351551097085</v>
      </c>
      <c r="K39" s="5">
        <v>1.3611111111</v>
      </c>
      <c r="L39" s="5">
        <v>6.1086956521999998</v>
      </c>
      <c r="M39" s="5">
        <v>4.6144290415818183</v>
      </c>
      <c r="N39" s="5">
        <v>5.0833333332999997</v>
      </c>
      <c r="O39" s="5">
        <v>5.5696202532000001</v>
      </c>
      <c r="P39" s="5">
        <v>1000.8923611112</v>
      </c>
      <c r="Q39" s="5">
        <v>944.90952380939996</v>
      </c>
      <c r="R39" s="5">
        <v>962.12652542282615</v>
      </c>
      <c r="S39" s="27"/>
    </row>
    <row r="40" spans="1:19" x14ac:dyDescent="0.3">
      <c r="A40" s="120"/>
      <c r="B40" s="15" t="s">
        <v>87</v>
      </c>
      <c r="C40" s="41">
        <v>10</v>
      </c>
      <c r="D40" s="41">
        <v>51</v>
      </c>
      <c r="E40" s="25">
        <f t="shared" si="0"/>
        <v>5.0999999999999996</v>
      </c>
      <c r="F40" s="6">
        <v>10</v>
      </c>
      <c r="G40" s="34">
        <v>23</v>
      </c>
      <c r="H40" s="5">
        <v>2.0666666667000002</v>
      </c>
      <c r="I40" s="5">
        <v>8.9</v>
      </c>
      <c r="J40" s="5">
        <v>5.3327748913901978</v>
      </c>
      <c r="K40" s="5">
        <v>3.9230769231</v>
      </c>
      <c r="L40" s="5">
        <v>6.1951219512</v>
      </c>
      <c r="M40" s="5">
        <v>5.2579680577700003</v>
      </c>
      <c r="N40" s="5">
        <v>6.0674157302999996</v>
      </c>
      <c r="O40" s="5">
        <v>6.1951219512</v>
      </c>
      <c r="P40" s="5">
        <v>971.46590909040003</v>
      </c>
      <c r="Q40" s="5">
        <v>945.90548780510005</v>
      </c>
      <c r="R40" s="5">
        <v>956.2583276285801</v>
      </c>
      <c r="S40" s="27"/>
    </row>
    <row r="41" spans="1:19" x14ac:dyDescent="0.3">
      <c r="A41" s="120" t="s">
        <v>40</v>
      </c>
      <c r="B41" s="15" t="s">
        <v>15</v>
      </c>
      <c r="C41" s="41">
        <v>6</v>
      </c>
      <c r="D41" s="41">
        <v>44</v>
      </c>
      <c r="E41" s="25">
        <f t="shared" si="0"/>
        <v>7.333333333333333</v>
      </c>
      <c r="F41" s="6">
        <v>5</v>
      </c>
      <c r="G41" s="34">
        <v>7</v>
      </c>
      <c r="H41" s="5">
        <v>2.9555555556000002</v>
      </c>
      <c r="I41" s="5">
        <v>5.6853932584000004</v>
      </c>
      <c r="J41" s="5">
        <v>3.9709558452522717</v>
      </c>
      <c r="K41" s="5">
        <v>3.5172413793000001</v>
      </c>
      <c r="L41" s="5">
        <v>4.1034482758999999</v>
      </c>
      <c r="M41" s="5">
        <v>3.8817820413199997</v>
      </c>
      <c r="N41" s="5">
        <v>4.0263157894999999</v>
      </c>
      <c r="O41" s="5">
        <v>4.1034482758999999</v>
      </c>
      <c r="P41" s="5">
        <v>976.36637931049995</v>
      </c>
      <c r="Q41" s="5">
        <v>969.24565789439998</v>
      </c>
      <c r="R41" s="5">
        <v>971.95372927997994</v>
      </c>
      <c r="S41" s="27"/>
    </row>
    <row r="42" spans="1:19" x14ac:dyDescent="0.3">
      <c r="A42" s="120"/>
      <c r="B42" s="15" t="s">
        <v>16</v>
      </c>
      <c r="C42" s="41">
        <v>9</v>
      </c>
      <c r="D42" s="41">
        <v>92</v>
      </c>
      <c r="E42" s="25">
        <f t="shared" si="0"/>
        <v>10.222222222222221</v>
      </c>
      <c r="F42" s="6">
        <v>8</v>
      </c>
      <c r="G42" s="34">
        <v>23</v>
      </c>
      <c r="H42" s="5">
        <v>2.4471544715000002</v>
      </c>
      <c r="I42" s="5">
        <v>7.1470588235000001</v>
      </c>
      <c r="J42" s="5">
        <v>3.5432374451184798</v>
      </c>
      <c r="K42" s="5">
        <v>3.0270270269999999</v>
      </c>
      <c r="L42" s="5">
        <v>3.6</v>
      </c>
      <c r="M42" s="5">
        <v>3.3118928933166667</v>
      </c>
      <c r="N42" s="5">
        <v>3.5844155843999999</v>
      </c>
      <c r="O42" s="5">
        <v>3.6</v>
      </c>
      <c r="P42" s="5">
        <v>981.94256756790003</v>
      </c>
      <c r="Q42" s="5">
        <v>975.42499999999995</v>
      </c>
      <c r="R42" s="5">
        <v>978.06594946817495</v>
      </c>
      <c r="S42" s="27"/>
    </row>
    <row r="43" spans="1:19" x14ac:dyDescent="0.3">
      <c r="A43" s="120"/>
      <c r="B43" s="15" t="s">
        <v>17</v>
      </c>
      <c r="C43" s="41">
        <v>6</v>
      </c>
      <c r="D43" s="41">
        <v>56</v>
      </c>
      <c r="E43" s="25">
        <f t="shared" si="0"/>
        <v>9.3333333333333339</v>
      </c>
      <c r="F43" s="6">
        <v>6</v>
      </c>
      <c r="G43" s="34">
        <v>22</v>
      </c>
      <c r="H43" s="5">
        <v>2.3571428570999999</v>
      </c>
      <c r="I43" s="5">
        <v>6.8783783783999999</v>
      </c>
      <c r="J43" s="5">
        <v>4.3653946332178553</v>
      </c>
      <c r="K43" s="5">
        <v>2.3571428570999999</v>
      </c>
      <c r="L43" s="5">
        <v>4.7922077922000001</v>
      </c>
      <c r="M43" s="5">
        <v>4.1662883599666669</v>
      </c>
      <c r="N43" s="5">
        <v>4.7857142857000001</v>
      </c>
      <c r="O43" s="5">
        <v>4.7922077922000001</v>
      </c>
      <c r="P43" s="5">
        <v>989.56250000049999</v>
      </c>
      <c r="Q43" s="5">
        <v>961.86363636370004</v>
      </c>
      <c r="R43" s="5">
        <v>968.98346990538323</v>
      </c>
      <c r="S43" s="27"/>
    </row>
    <row r="44" spans="1:19" x14ac:dyDescent="0.3">
      <c r="A44" s="120"/>
      <c r="B44" s="15" t="s">
        <v>18</v>
      </c>
      <c r="C44" s="41">
        <v>6</v>
      </c>
      <c r="D44" s="41">
        <v>35</v>
      </c>
      <c r="E44" s="25">
        <f t="shared" si="0"/>
        <v>5.833333333333333</v>
      </c>
      <c r="F44" s="6">
        <v>6</v>
      </c>
      <c r="G44" s="34">
        <v>18</v>
      </c>
      <c r="H44" s="5">
        <v>3.0476190476</v>
      </c>
      <c r="I44" s="5">
        <v>6.8333333332999997</v>
      </c>
      <c r="J44" s="5">
        <v>4.1217177193342849</v>
      </c>
      <c r="K44" s="5">
        <v>3.2</v>
      </c>
      <c r="L44" s="5">
        <v>4.5569620252999998</v>
      </c>
      <c r="M44" s="5">
        <v>4.0600629788166662</v>
      </c>
      <c r="N44" s="5">
        <v>4.4166666667000003</v>
      </c>
      <c r="O44" s="5">
        <v>4.5569620252999998</v>
      </c>
      <c r="P44" s="5">
        <v>979.97500000000002</v>
      </c>
      <c r="Q44" s="5">
        <v>964.53955696219998</v>
      </c>
      <c r="R44" s="5">
        <v>970.11559313978341</v>
      </c>
      <c r="S44" s="27"/>
    </row>
    <row r="45" spans="1:19" x14ac:dyDescent="0.3">
      <c r="A45" s="120"/>
      <c r="B45" s="15" t="s">
        <v>19</v>
      </c>
      <c r="C45" s="41">
        <v>6</v>
      </c>
      <c r="D45" s="41">
        <v>37</v>
      </c>
      <c r="E45" s="25">
        <f t="shared" si="0"/>
        <v>6.166666666666667</v>
      </c>
      <c r="F45" s="6">
        <v>5</v>
      </c>
      <c r="G45" s="34">
        <v>10</v>
      </c>
      <c r="H45" s="5">
        <v>4.1379310345000002</v>
      </c>
      <c r="I45" s="5">
        <v>7.3417721518999999</v>
      </c>
      <c r="J45" s="5">
        <v>5.4744429801567565</v>
      </c>
      <c r="K45" s="5">
        <v>4.3600000000000003</v>
      </c>
      <c r="L45" s="5">
        <v>5.5633802816999998</v>
      </c>
      <c r="M45" s="5">
        <v>4.9978649700199993</v>
      </c>
      <c r="N45" s="5">
        <v>5.2054794520999996</v>
      </c>
      <c r="O45" s="5">
        <v>5.5633802816999998</v>
      </c>
      <c r="P45" s="5">
        <v>966.78</v>
      </c>
      <c r="Q45" s="5">
        <v>952.42154929569995</v>
      </c>
      <c r="R45" s="5">
        <v>959.25628596603997</v>
      </c>
      <c r="S45" s="27"/>
    </row>
    <row r="46" spans="1:19" x14ac:dyDescent="0.3">
      <c r="A46" s="36" t="s">
        <v>41</v>
      </c>
      <c r="B46" s="15" t="s">
        <v>20</v>
      </c>
      <c r="C46" s="41">
        <v>3</v>
      </c>
      <c r="D46" s="41">
        <v>120</v>
      </c>
      <c r="E46" s="25">
        <f t="shared" si="0"/>
        <v>40</v>
      </c>
      <c r="F46" s="6">
        <v>3</v>
      </c>
      <c r="G46" s="34">
        <v>2</v>
      </c>
      <c r="H46" s="5">
        <v>1.1315789474</v>
      </c>
      <c r="I46" s="5">
        <v>4.987012987</v>
      </c>
      <c r="J46" s="5">
        <v>1.5551111941724995</v>
      </c>
      <c r="K46" s="5">
        <v>1.1315789474</v>
      </c>
      <c r="L46" s="5">
        <v>1.2686567164</v>
      </c>
      <c r="M46" s="5">
        <v>1.2048404593666666</v>
      </c>
      <c r="N46" s="48"/>
      <c r="O46" s="48"/>
      <c r="P46" s="5">
        <v>1003.5032894733</v>
      </c>
      <c r="Q46" s="5">
        <v>1001.944029851</v>
      </c>
      <c r="R46" s="5">
        <v>1002.6699397747001</v>
      </c>
      <c r="S46" s="27"/>
    </row>
    <row r="47" spans="1:19" x14ac:dyDescent="0.3">
      <c r="A47" s="120" t="s">
        <v>42</v>
      </c>
      <c r="B47" s="15" t="s">
        <v>8</v>
      </c>
      <c r="C47" s="41">
        <v>7</v>
      </c>
      <c r="D47" s="41">
        <v>22</v>
      </c>
      <c r="E47" s="25">
        <f t="shared" si="0"/>
        <v>3.1428571428571428</v>
      </c>
      <c r="F47" s="6">
        <v>7</v>
      </c>
      <c r="G47" s="34">
        <v>13</v>
      </c>
      <c r="H47" s="5">
        <v>3</v>
      </c>
      <c r="I47" s="5">
        <v>8.1530612245</v>
      </c>
      <c r="J47" s="5">
        <v>4.1525529226136371</v>
      </c>
      <c r="K47" s="5">
        <v>4.2894736841999999</v>
      </c>
      <c r="L47" s="5">
        <v>8.1530612245</v>
      </c>
      <c r="M47" s="5">
        <v>6.2304314986666656</v>
      </c>
      <c r="N47" s="5">
        <v>6.7397260273999997</v>
      </c>
      <c r="O47" s="5">
        <v>8.1530612245</v>
      </c>
      <c r="P47" s="5">
        <v>967.58223684220002</v>
      </c>
      <c r="Q47" s="5">
        <v>912.70392857130003</v>
      </c>
      <c r="R47" s="5">
        <v>942.8162180580714</v>
      </c>
      <c r="S47" s="27"/>
    </row>
    <row r="48" spans="1:19" x14ac:dyDescent="0.3">
      <c r="A48" s="120"/>
      <c r="B48" s="15" t="s">
        <v>43</v>
      </c>
      <c r="C48" s="41">
        <v>39</v>
      </c>
      <c r="D48" s="41">
        <v>194</v>
      </c>
      <c r="E48" s="25">
        <f t="shared" si="0"/>
        <v>4.9743589743589745</v>
      </c>
      <c r="F48" s="6">
        <v>38</v>
      </c>
      <c r="G48" s="34">
        <v>83</v>
      </c>
      <c r="H48" s="5">
        <v>2.6304347826000001</v>
      </c>
      <c r="I48" s="5">
        <v>7.6875</v>
      </c>
      <c r="J48" s="5">
        <v>5.0207666784355647</v>
      </c>
      <c r="K48" s="5">
        <v>2.6304347826000001</v>
      </c>
      <c r="L48" s="5">
        <v>5.5882352941000004</v>
      </c>
      <c r="M48" s="5">
        <v>4.6350501443135137</v>
      </c>
      <c r="N48" s="5">
        <v>5.0581395348999996</v>
      </c>
      <c r="O48" s="5">
        <v>5.3421052631999997</v>
      </c>
      <c r="P48" s="5">
        <v>983.23154761939998</v>
      </c>
      <c r="Q48" s="5">
        <v>952.80882352959998</v>
      </c>
      <c r="R48" s="5">
        <v>963.08876401097359</v>
      </c>
      <c r="S48" s="27"/>
    </row>
    <row r="49" spans="1:19" x14ac:dyDescent="0.3">
      <c r="A49" s="120" t="s">
        <v>91</v>
      </c>
      <c r="B49" s="18" t="s">
        <v>90</v>
      </c>
      <c r="C49" s="41">
        <v>19</v>
      </c>
      <c r="D49" s="41">
        <v>14</v>
      </c>
      <c r="E49" s="25">
        <f t="shared" si="0"/>
        <v>0.73684210526315785</v>
      </c>
      <c r="F49" s="6">
        <v>6</v>
      </c>
      <c r="G49" s="34" t="s">
        <v>74</v>
      </c>
      <c r="H49" s="5">
        <v>4.1176470588000003</v>
      </c>
      <c r="I49" s="5">
        <v>6.9333333333000002</v>
      </c>
      <c r="J49" s="5">
        <v>3.7500141800785718</v>
      </c>
      <c r="K49" s="5">
        <v>4.1176470588000003</v>
      </c>
      <c r="L49" s="5">
        <v>5.6315789474000004</v>
      </c>
      <c r="M49" s="5">
        <v>5.1215368738666669</v>
      </c>
      <c r="N49" s="5">
        <v>5.6315789474000004</v>
      </c>
      <c r="O49" s="5">
        <v>5.6315789474000004</v>
      </c>
      <c r="P49" s="5">
        <v>992</v>
      </c>
      <c r="Q49" s="5">
        <v>875.44761904749998</v>
      </c>
      <c r="R49" s="5">
        <v>943.31748918861683</v>
      </c>
      <c r="S49" s="27"/>
    </row>
    <row r="50" spans="1:19" x14ac:dyDescent="0.3">
      <c r="A50" s="120"/>
      <c r="B50" s="15" t="s">
        <v>88</v>
      </c>
      <c r="C50" s="41">
        <v>18</v>
      </c>
      <c r="D50" s="41">
        <v>25</v>
      </c>
      <c r="E50" s="25">
        <f t="shared" si="0"/>
        <v>1.3888888888888888</v>
      </c>
      <c r="F50" s="6">
        <v>17</v>
      </c>
      <c r="G50" s="34">
        <v>1</v>
      </c>
      <c r="H50" s="5">
        <v>5.6594202898999999</v>
      </c>
      <c r="I50" s="5">
        <v>8.3673469388000008</v>
      </c>
      <c r="J50" s="5">
        <v>2.5944004530879998</v>
      </c>
      <c r="K50" s="5">
        <v>5.6594202898999999</v>
      </c>
      <c r="L50" s="5">
        <v>6.9814814815000004</v>
      </c>
      <c r="M50" s="5">
        <v>6.2059376125833339</v>
      </c>
      <c r="N50" s="5">
        <v>6.5</v>
      </c>
      <c r="O50" s="5">
        <v>6.9814814815000004</v>
      </c>
      <c r="P50" s="5">
        <v>985.5</v>
      </c>
      <c r="Q50" s="5">
        <v>930.97</v>
      </c>
      <c r="R50" s="5">
        <v>949.6586832402412</v>
      </c>
      <c r="S50" s="27"/>
    </row>
    <row r="51" spans="1:19" x14ac:dyDescent="0.3">
      <c r="A51" s="121"/>
      <c r="B51" s="15" t="s">
        <v>89</v>
      </c>
      <c r="C51" s="41">
        <v>24</v>
      </c>
      <c r="D51" s="41">
        <v>55</v>
      </c>
      <c r="E51" s="25">
        <f t="shared" si="0"/>
        <v>2.2916666666666665</v>
      </c>
      <c r="F51" s="6">
        <v>16</v>
      </c>
      <c r="G51" s="34">
        <v>31</v>
      </c>
      <c r="H51" s="5">
        <v>1.25</v>
      </c>
      <c r="I51" s="5">
        <v>8.8571428570999995</v>
      </c>
      <c r="J51" s="5">
        <v>5.4979994780163626</v>
      </c>
      <c r="K51" s="5">
        <v>3.9196428570999999</v>
      </c>
      <c r="L51" s="5">
        <v>8.0769230769</v>
      </c>
      <c r="M51" s="5">
        <v>6.0330649388374997</v>
      </c>
      <c r="N51" s="5">
        <v>6.9344262294999996</v>
      </c>
      <c r="O51" s="5">
        <v>7.3888888889000004</v>
      </c>
      <c r="P51" s="5">
        <v>966.91906250049999</v>
      </c>
      <c r="Q51" s="5">
        <v>922.58571428599998</v>
      </c>
      <c r="R51" s="5">
        <v>947.10620774929998</v>
      </c>
      <c r="S51" s="27"/>
    </row>
    <row r="52" spans="1:19" x14ac:dyDescent="0.3">
      <c r="A52" s="92" t="s">
        <v>21</v>
      </c>
      <c r="B52" s="93"/>
      <c r="C52" s="32">
        <f>SUM(C10:C51)</f>
        <v>880</v>
      </c>
      <c r="D52" s="32">
        <f>SUM(D10:D51)</f>
        <v>3930</v>
      </c>
      <c r="E52" s="26">
        <f>D52/C52</f>
        <v>4.4659090909090908</v>
      </c>
      <c r="F52" s="45">
        <f>SUM(F10:F51)</f>
        <v>744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47"/>
      <c r="R52" s="7"/>
      <c r="S52" s="28"/>
    </row>
    <row r="54" spans="1:19" x14ac:dyDescent="0.3">
      <c r="A54" s="87" t="s">
        <v>0</v>
      </c>
      <c r="B54" s="95" t="s">
        <v>1</v>
      </c>
      <c r="C54" s="51" t="s">
        <v>22</v>
      </c>
      <c r="D54" s="52"/>
      <c r="E54" s="52"/>
      <c r="F54" s="52"/>
      <c r="G54" s="53"/>
      <c r="H54" s="67" t="s">
        <v>100</v>
      </c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3" t="s">
        <v>75</v>
      </c>
    </row>
    <row r="55" spans="1:19" x14ac:dyDescent="0.3">
      <c r="A55" s="88"/>
      <c r="B55" s="96"/>
      <c r="C55" s="54"/>
      <c r="D55" s="55"/>
      <c r="E55" s="55"/>
      <c r="F55" s="55"/>
      <c r="G55" s="56"/>
      <c r="H55" s="83" t="s">
        <v>76</v>
      </c>
      <c r="I55" s="84"/>
      <c r="J55" s="85"/>
      <c r="K55" s="77" t="s">
        <v>77</v>
      </c>
      <c r="L55" s="78"/>
      <c r="M55" s="78"/>
      <c r="N55" s="78"/>
      <c r="O55" s="78"/>
      <c r="P55" s="78"/>
      <c r="Q55" s="78"/>
      <c r="R55" s="78"/>
      <c r="S55" s="63"/>
    </row>
    <row r="56" spans="1:19" x14ac:dyDescent="0.3">
      <c r="A56" s="88"/>
      <c r="B56" s="96"/>
      <c r="C56" s="70" t="s">
        <v>3</v>
      </c>
      <c r="D56" s="71"/>
      <c r="E56" s="72"/>
      <c r="F56" s="73" t="s">
        <v>4</v>
      </c>
      <c r="G56" s="75" t="s">
        <v>93</v>
      </c>
      <c r="H56" s="86" t="s">
        <v>66</v>
      </c>
      <c r="I56" s="86"/>
      <c r="J56" s="86"/>
      <c r="K56" s="82" t="s">
        <v>66</v>
      </c>
      <c r="L56" s="82"/>
      <c r="M56" s="82"/>
      <c r="N56" s="82"/>
      <c r="O56" s="82"/>
      <c r="P56" s="82" t="s">
        <v>65</v>
      </c>
      <c r="Q56" s="82"/>
      <c r="R56" s="82"/>
      <c r="S56" s="63"/>
    </row>
    <row r="57" spans="1:19" x14ac:dyDescent="0.3">
      <c r="A57" s="88"/>
      <c r="B57" s="96"/>
      <c r="C57" s="21" t="s">
        <v>5</v>
      </c>
      <c r="D57" s="21" t="s">
        <v>6</v>
      </c>
      <c r="E57" s="2" t="s">
        <v>7</v>
      </c>
      <c r="F57" s="74"/>
      <c r="G57" s="76"/>
      <c r="H57" s="22" t="s">
        <v>67</v>
      </c>
      <c r="I57" s="22" t="s">
        <v>64</v>
      </c>
      <c r="J57" s="22" t="s">
        <v>68</v>
      </c>
      <c r="K57" s="50" t="s">
        <v>67</v>
      </c>
      <c r="L57" s="50" t="s">
        <v>64</v>
      </c>
      <c r="M57" s="50" t="s">
        <v>68</v>
      </c>
      <c r="N57" s="50" t="s">
        <v>69</v>
      </c>
      <c r="O57" s="50" t="s">
        <v>70</v>
      </c>
      <c r="P57" s="50" t="s">
        <v>62</v>
      </c>
      <c r="Q57" s="50" t="s">
        <v>64</v>
      </c>
      <c r="R57" s="50" t="s">
        <v>63</v>
      </c>
      <c r="S57" s="63"/>
    </row>
    <row r="58" spans="1:19" x14ac:dyDescent="0.3">
      <c r="A58" s="104" t="s">
        <v>29</v>
      </c>
      <c r="B58" s="24" t="s">
        <v>44</v>
      </c>
      <c r="C58" s="34">
        <v>4</v>
      </c>
      <c r="D58" s="34">
        <v>14</v>
      </c>
      <c r="E58" s="5">
        <f>D58/C58</f>
        <v>3.5</v>
      </c>
      <c r="F58" s="6">
        <v>3</v>
      </c>
      <c r="G58" s="34">
        <v>10</v>
      </c>
      <c r="H58" s="5">
        <v>4.5999999999999996</v>
      </c>
      <c r="I58" s="5">
        <v>7.4242424242</v>
      </c>
      <c r="J58" s="5">
        <v>6.0504770826714287</v>
      </c>
      <c r="K58" s="5">
        <v>4.9367088607999996</v>
      </c>
      <c r="L58" s="5">
        <v>6.3287671232999996</v>
      </c>
      <c r="M58" s="5">
        <v>5.6498955034666665</v>
      </c>
      <c r="N58" s="48"/>
      <c r="O58" s="48"/>
      <c r="P58" s="5">
        <v>959.8899367084</v>
      </c>
      <c r="Q58" s="5">
        <v>944.38527397250004</v>
      </c>
      <c r="R58" s="5">
        <v>951.99743864806669</v>
      </c>
      <c r="S58" s="27"/>
    </row>
    <row r="59" spans="1:19" x14ac:dyDescent="0.3">
      <c r="A59" s="105"/>
      <c r="B59" s="24" t="s">
        <v>61</v>
      </c>
      <c r="C59" s="34">
        <v>7</v>
      </c>
      <c r="D59" s="34">
        <v>32</v>
      </c>
      <c r="E59" s="5">
        <f t="shared" ref="E59:E86" si="1">D59/C59</f>
        <v>4.5714285714285712</v>
      </c>
      <c r="F59" s="6">
        <v>6</v>
      </c>
      <c r="G59" s="34">
        <v>14</v>
      </c>
      <c r="H59" s="5">
        <v>2.3571428570999999</v>
      </c>
      <c r="I59" s="5">
        <v>7.9375</v>
      </c>
      <c r="J59" s="5">
        <v>5.9957823950812488</v>
      </c>
      <c r="K59" s="5">
        <v>3.5882352941</v>
      </c>
      <c r="L59" s="5">
        <v>6.6142857143000002</v>
      </c>
      <c r="M59" s="5">
        <v>5.8061650353833336</v>
      </c>
      <c r="N59" s="46">
        <v>6.3974358974000003</v>
      </c>
      <c r="O59" s="46">
        <v>6.6142857143000002</v>
      </c>
      <c r="P59" s="5">
        <v>975.55882352959998</v>
      </c>
      <c r="Q59" s="5">
        <v>941.13749999979996</v>
      </c>
      <c r="R59" s="5">
        <v>950.10130129395009</v>
      </c>
      <c r="S59" s="27"/>
    </row>
    <row r="60" spans="1:19" x14ac:dyDescent="0.3">
      <c r="A60" s="106"/>
      <c r="B60" s="24" t="s">
        <v>45</v>
      </c>
      <c r="C60" s="34">
        <v>10</v>
      </c>
      <c r="D60" s="34">
        <v>49</v>
      </c>
      <c r="E60" s="5">
        <f t="shared" si="1"/>
        <v>4.9000000000000004</v>
      </c>
      <c r="F60" s="6">
        <v>10</v>
      </c>
      <c r="G60" s="34">
        <v>14</v>
      </c>
      <c r="H60" s="5">
        <v>2.875</v>
      </c>
      <c r="I60" s="5">
        <v>8.0410958903999994</v>
      </c>
      <c r="J60" s="5">
        <v>6.3339790317632634</v>
      </c>
      <c r="K60" s="5">
        <v>2.875</v>
      </c>
      <c r="L60" s="5">
        <v>6.484375</v>
      </c>
      <c r="M60" s="5">
        <v>5.6880847064799998</v>
      </c>
      <c r="N60" s="46">
        <v>6.4078947368000003</v>
      </c>
      <c r="O60" s="46">
        <v>6.484375</v>
      </c>
      <c r="P60" s="5">
        <v>983.671875</v>
      </c>
      <c r="Q60" s="5">
        <v>942.615234375</v>
      </c>
      <c r="R60" s="5">
        <v>951.67303646378002</v>
      </c>
      <c r="S60" s="27"/>
    </row>
    <row r="61" spans="1:19" x14ac:dyDescent="0.3">
      <c r="A61" s="104" t="s">
        <v>30</v>
      </c>
      <c r="B61" s="24" t="s">
        <v>46</v>
      </c>
      <c r="C61" s="34">
        <v>5</v>
      </c>
      <c r="D61" s="34">
        <v>40</v>
      </c>
      <c r="E61" s="5">
        <f t="shared" si="1"/>
        <v>8</v>
      </c>
      <c r="F61" s="6">
        <v>5</v>
      </c>
      <c r="G61" s="34">
        <v>11</v>
      </c>
      <c r="H61" s="5">
        <v>1.84</v>
      </c>
      <c r="I61" s="5">
        <v>6.9864864864999996</v>
      </c>
      <c r="J61" s="5">
        <v>5.5174962557800011</v>
      </c>
      <c r="K61" s="5">
        <v>1.84</v>
      </c>
      <c r="L61" s="5">
        <v>5.3</v>
      </c>
      <c r="M61" s="5">
        <v>4.3134838709599999</v>
      </c>
      <c r="N61" s="46">
        <v>5.125</v>
      </c>
      <c r="O61" s="46">
        <v>5.3</v>
      </c>
      <c r="P61" s="5">
        <v>992.70214285709994</v>
      </c>
      <c r="Q61" s="5">
        <v>956.08749999999998</v>
      </c>
      <c r="R61" s="5">
        <v>965.38912096784009</v>
      </c>
      <c r="S61" s="27"/>
    </row>
    <row r="62" spans="1:19" x14ac:dyDescent="0.3">
      <c r="A62" s="105"/>
      <c r="B62" s="24" t="s">
        <v>47</v>
      </c>
      <c r="C62" s="34">
        <v>7</v>
      </c>
      <c r="D62" s="34">
        <v>49</v>
      </c>
      <c r="E62" s="5">
        <f t="shared" si="1"/>
        <v>7</v>
      </c>
      <c r="F62" s="6">
        <v>7</v>
      </c>
      <c r="G62" s="34">
        <v>23</v>
      </c>
      <c r="H62" s="5">
        <v>2.4722222222000001</v>
      </c>
      <c r="I62" s="5">
        <v>7.9436619718000001</v>
      </c>
      <c r="J62" s="5">
        <v>5.6451175873938766</v>
      </c>
      <c r="K62" s="5">
        <v>4.6533333333</v>
      </c>
      <c r="L62" s="5">
        <v>6.16</v>
      </c>
      <c r="M62" s="5">
        <v>5.4955677545142851</v>
      </c>
      <c r="N62" s="46">
        <v>6.1265822784999999</v>
      </c>
      <c r="O62" s="46">
        <v>6.16</v>
      </c>
      <c r="P62" s="5">
        <v>963.44333333370002</v>
      </c>
      <c r="Q62" s="5">
        <v>943.48512658209995</v>
      </c>
      <c r="R62" s="5">
        <v>953.40577393525712</v>
      </c>
      <c r="S62" s="27"/>
    </row>
    <row r="63" spans="1:19" x14ac:dyDescent="0.3">
      <c r="A63" s="105"/>
      <c r="B63" s="24" t="s">
        <v>9</v>
      </c>
      <c r="C63" s="34">
        <v>10</v>
      </c>
      <c r="D63" s="34">
        <v>56</v>
      </c>
      <c r="E63" s="5">
        <f t="shared" si="1"/>
        <v>5.6</v>
      </c>
      <c r="F63" s="6">
        <v>6</v>
      </c>
      <c r="G63" s="34">
        <v>17</v>
      </c>
      <c r="H63" s="5">
        <v>1.75</v>
      </c>
      <c r="I63" s="5">
        <v>4.75</v>
      </c>
      <c r="J63" s="5">
        <v>3.3996125324392859</v>
      </c>
      <c r="K63" s="5">
        <v>3.0454545455000002</v>
      </c>
      <c r="L63" s="5">
        <v>3.3670886075999999</v>
      </c>
      <c r="M63" s="5">
        <v>3.1754131872999998</v>
      </c>
      <c r="N63" s="46">
        <v>3.2162162161999999</v>
      </c>
      <c r="O63" s="46">
        <v>3.3670886075999999</v>
      </c>
      <c r="P63" s="5">
        <v>981.73295454490005</v>
      </c>
      <c r="Q63" s="5">
        <v>978.07436708859996</v>
      </c>
      <c r="R63" s="5">
        <v>980.25467499446665</v>
      </c>
      <c r="S63" s="27"/>
    </row>
    <row r="64" spans="1:19" x14ac:dyDescent="0.3">
      <c r="A64" s="106"/>
      <c r="B64" s="24" t="s">
        <v>10</v>
      </c>
      <c r="C64" s="34">
        <v>9</v>
      </c>
      <c r="D64" s="34">
        <v>93</v>
      </c>
      <c r="E64" s="5">
        <f t="shared" si="1"/>
        <v>10.333333333333334</v>
      </c>
      <c r="F64" s="6">
        <v>8</v>
      </c>
      <c r="G64" s="34">
        <v>17</v>
      </c>
      <c r="H64" s="5">
        <v>2</v>
      </c>
      <c r="I64" s="5">
        <v>8.25</v>
      </c>
      <c r="J64" s="5">
        <v>5.1611296471827961</v>
      </c>
      <c r="K64" s="5">
        <v>3.9722222222000001</v>
      </c>
      <c r="L64" s="5">
        <v>4.7215189872999996</v>
      </c>
      <c r="M64" s="5">
        <v>4.3784849831249995</v>
      </c>
      <c r="N64" s="46">
        <v>4.7125000000000004</v>
      </c>
      <c r="O64" s="46">
        <v>4.7215189872999996</v>
      </c>
      <c r="P64" s="5">
        <v>970.875</v>
      </c>
      <c r="Q64" s="5">
        <v>962.66772151949999</v>
      </c>
      <c r="R64" s="5">
        <v>965.76973331696252</v>
      </c>
      <c r="S64" s="27"/>
    </row>
    <row r="65" spans="1:19" x14ac:dyDescent="0.3">
      <c r="A65" s="104" t="s">
        <v>32</v>
      </c>
      <c r="B65" s="24" t="s">
        <v>48</v>
      </c>
      <c r="C65" s="34">
        <v>3</v>
      </c>
      <c r="D65" s="34">
        <v>9</v>
      </c>
      <c r="E65" s="5">
        <f t="shared" si="1"/>
        <v>3</v>
      </c>
      <c r="F65" s="6">
        <v>2</v>
      </c>
      <c r="G65" s="34">
        <v>2</v>
      </c>
      <c r="H65" s="5">
        <v>3.48</v>
      </c>
      <c r="I65" s="5">
        <v>7.6190476189999998</v>
      </c>
      <c r="J65" s="5">
        <v>5.6564878436333332</v>
      </c>
      <c r="K65" s="48"/>
      <c r="L65" s="48"/>
      <c r="M65" s="5">
        <v>4.24</v>
      </c>
      <c r="N65" s="48"/>
      <c r="O65" s="48"/>
      <c r="P65" s="48"/>
      <c r="Q65" s="48"/>
      <c r="R65" s="5">
        <v>967.68785714285002</v>
      </c>
      <c r="S65" s="27"/>
    </row>
    <row r="66" spans="1:19" x14ac:dyDescent="0.3">
      <c r="A66" s="105"/>
      <c r="B66" s="24" t="s">
        <v>49</v>
      </c>
      <c r="C66" s="34">
        <v>3</v>
      </c>
      <c r="D66" s="34">
        <v>17</v>
      </c>
      <c r="E66" s="5">
        <f t="shared" si="1"/>
        <v>5.666666666666667</v>
      </c>
      <c r="F66" s="6">
        <v>3</v>
      </c>
      <c r="G66" s="34">
        <v>13</v>
      </c>
      <c r="H66" s="5">
        <v>3.5070422534999999</v>
      </c>
      <c r="I66" s="5">
        <v>7.7560975609999998</v>
      </c>
      <c r="J66" s="5">
        <v>5.9206345708058814</v>
      </c>
      <c r="K66" s="5">
        <v>6.3970588235000001</v>
      </c>
      <c r="L66" s="5">
        <v>7.5747126436999999</v>
      </c>
      <c r="M66" s="5">
        <v>6.9475797363666665</v>
      </c>
      <c r="N66" s="48"/>
      <c r="O66" s="48"/>
      <c r="P66" s="5">
        <v>943.60845588270001</v>
      </c>
      <c r="Q66" s="5">
        <v>929.54264367789995</v>
      </c>
      <c r="R66" s="5">
        <v>936.89961383216666</v>
      </c>
      <c r="S66" s="27"/>
    </row>
    <row r="67" spans="1:19" x14ac:dyDescent="0.3">
      <c r="A67" s="105"/>
      <c r="B67" s="24" t="s">
        <v>86</v>
      </c>
      <c r="C67" s="34">
        <v>4</v>
      </c>
      <c r="D67" s="34">
        <v>17</v>
      </c>
      <c r="E67" s="5">
        <f t="shared" si="1"/>
        <v>4.25</v>
      </c>
      <c r="F67" s="6">
        <v>4</v>
      </c>
      <c r="G67" s="34">
        <v>4</v>
      </c>
      <c r="H67" s="5">
        <v>3.0740740740999999</v>
      </c>
      <c r="I67" s="5">
        <v>6.4852941175999996</v>
      </c>
      <c r="J67" s="5">
        <v>5.1409566973529417</v>
      </c>
      <c r="K67" s="5">
        <v>3.0740740740999999</v>
      </c>
      <c r="L67" s="5">
        <v>5.3714285714000001</v>
      </c>
      <c r="M67" s="5">
        <v>4.6781329077500002</v>
      </c>
      <c r="N67" s="48"/>
      <c r="O67" s="48"/>
      <c r="P67" s="5">
        <v>972.26455026420001</v>
      </c>
      <c r="Q67" s="5">
        <v>955.2750000003</v>
      </c>
      <c r="R67" s="5">
        <v>960.79302388859992</v>
      </c>
      <c r="S67" s="27"/>
    </row>
    <row r="68" spans="1:19" x14ac:dyDescent="0.3">
      <c r="A68" s="106"/>
      <c r="B68" s="24" t="s">
        <v>11</v>
      </c>
      <c r="C68" s="34">
        <v>16</v>
      </c>
      <c r="D68" s="34">
        <v>85</v>
      </c>
      <c r="E68" s="5">
        <f t="shared" si="1"/>
        <v>5.3125</v>
      </c>
      <c r="F68" s="6">
        <v>16</v>
      </c>
      <c r="G68" s="34">
        <v>30</v>
      </c>
      <c r="H68" s="5">
        <v>1.3333333332999999</v>
      </c>
      <c r="I68" s="5">
        <v>6.5294117646999998</v>
      </c>
      <c r="J68" s="5">
        <v>3.490835259047059</v>
      </c>
      <c r="K68" s="5">
        <v>1.76</v>
      </c>
      <c r="L68" s="5">
        <v>3.5696202532000001</v>
      </c>
      <c r="M68" s="5">
        <v>2.8741429548499999</v>
      </c>
      <c r="N68" s="46">
        <v>3.3188405796999998</v>
      </c>
      <c r="O68" s="46">
        <v>3.5405405404999999</v>
      </c>
      <c r="P68" s="5">
        <v>996.35500000000002</v>
      </c>
      <c r="Q68" s="5">
        <v>975.77056961990002</v>
      </c>
      <c r="R68" s="5">
        <v>983.6816238885998</v>
      </c>
      <c r="S68" s="27"/>
    </row>
    <row r="69" spans="1:19" x14ac:dyDescent="0.3">
      <c r="A69" s="104" t="s">
        <v>33</v>
      </c>
      <c r="B69" s="24" t="s">
        <v>34</v>
      </c>
      <c r="C69" s="34">
        <v>3</v>
      </c>
      <c r="D69" s="34">
        <v>15</v>
      </c>
      <c r="E69" s="5">
        <f t="shared" si="1"/>
        <v>5</v>
      </c>
      <c r="F69" s="6">
        <v>3</v>
      </c>
      <c r="G69" s="34">
        <v>5</v>
      </c>
      <c r="H69" s="5">
        <v>4.8831168830999996</v>
      </c>
      <c r="I69" s="5">
        <v>7.2222222222000001</v>
      </c>
      <c r="J69" s="5">
        <v>6.2074440698466677</v>
      </c>
      <c r="K69" s="5">
        <v>5.515625</v>
      </c>
      <c r="L69" s="5">
        <v>6.2</v>
      </c>
      <c r="M69" s="5">
        <v>5.9578399122666665</v>
      </c>
      <c r="N69" s="48"/>
      <c r="O69" s="48"/>
      <c r="P69" s="5">
        <v>953.634765625</v>
      </c>
      <c r="Q69" s="5">
        <v>944.60571428569995</v>
      </c>
      <c r="R69" s="5">
        <v>948.03742814083341</v>
      </c>
      <c r="S69" s="27"/>
    </row>
    <row r="70" spans="1:19" x14ac:dyDescent="0.3">
      <c r="A70" s="105"/>
      <c r="B70" s="24" t="s">
        <v>50</v>
      </c>
      <c r="C70" s="34">
        <v>9</v>
      </c>
      <c r="D70" s="34">
        <v>52</v>
      </c>
      <c r="E70" s="5">
        <f t="shared" si="1"/>
        <v>5.7777777777777777</v>
      </c>
      <c r="F70" s="6">
        <v>9</v>
      </c>
      <c r="G70" s="34">
        <v>19</v>
      </c>
      <c r="H70" s="5">
        <v>1.75</v>
      </c>
      <c r="I70" s="5">
        <v>8.3666666667000005</v>
      </c>
      <c r="J70" s="5">
        <v>5.9462023752115378</v>
      </c>
      <c r="K70" s="5">
        <v>3.625</v>
      </c>
      <c r="L70" s="5">
        <v>6.34375</v>
      </c>
      <c r="M70" s="5">
        <v>5.411633866822223</v>
      </c>
      <c r="N70" s="46">
        <v>6.1707317072999999</v>
      </c>
      <c r="O70" s="46">
        <v>6.34375</v>
      </c>
      <c r="P70" s="5">
        <v>975.140625</v>
      </c>
      <c r="Q70" s="5">
        <v>943.88484374999996</v>
      </c>
      <c r="R70" s="5">
        <v>953.52877587602211</v>
      </c>
      <c r="S70" s="27"/>
    </row>
    <row r="71" spans="1:19" x14ac:dyDescent="0.3">
      <c r="A71" s="105"/>
      <c r="B71" s="24" t="s">
        <v>35</v>
      </c>
      <c r="C71" s="34">
        <v>16</v>
      </c>
      <c r="D71" s="34">
        <v>100</v>
      </c>
      <c r="E71" s="5">
        <f t="shared" si="1"/>
        <v>6.25</v>
      </c>
      <c r="F71" s="6">
        <v>16</v>
      </c>
      <c r="G71" s="34">
        <v>45</v>
      </c>
      <c r="H71" s="5">
        <v>1.8666666667</v>
      </c>
      <c r="I71" s="5">
        <v>7.8615384615000004</v>
      </c>
      <c r="J71" s="5">
        <v>5.0141413739849989</v>
      </c>
      <c r="K71" s="5">
        <v>3.0476190476</v>
      </c>
      <c r="L71" s="5">
        <v>5.3214285714000003</v>
      </c>
      <c r="M71" s="5">
        <v>4.5691059144437496</v>
      </c>
      <c r="N71" s="46">
        <v>5.0952380952</v>
      </c>
      <c r="O71" s="46">
        <v>5.16</v>
      </c>
      <c r="P71" s="5">
        <v>981.70833333359997</v>
      </c>
      <c r="Q71" s="5">
        <v>955.5892857138</v>
      </c>
      <c r="R71" s="5">
        <v>963.75222379462491</v>
      </c>
      <c r="S71" s="27"/>
    </row>
    <row r="72" spans="1:19" x14ac:dyDescent="0.3">
      <c r="A72" s="105"/>
      <c r="B72" s="24" t="s">
        <v>51</v>
      </c>
      <c r="C72" s="34">
        <v>20</v>
      </c>
      <c r="D72" s="34">
        <v>111</v>
      </c>
      <c r="E72" s="5">
        <f t="shared" si="1"/>
        <v>5.55</v>
      </c>
      <c r="F72" s="6">
        <v>17</v>
      </c>
      <c r="G72" s="34">
        <v>59</v>
      </c>
      <c r="H72" s="5">
        <v>1.3333333332999999</v>
      </c>
      <c r="I72" s="5">
        <v>8.875</v>
      </c>
      <c r="J72" s="5">
        <v>6.1132557140783801</v>
      </c>
      <c r="K72" s="5">
        <v>2.9750000000000001</v>
      </c>
      <c r="L72" s="5">
        <v>6.7432432432000002</v>
      </c>
      <c r="M72" s="5">
        <v>5.6896178094588228</v>
      </c>
      <c r="N72" s="46">
        <v>6.4878048780000004</v>
      </c>
      <c r="O72" s="46">
        <v>6.7323943662000003</v>
      </c>
      <c r="P72" s="5">
        <v>982.53437499999995</v>
      </c>
      <c r="Q72" s="5">
        <v>939.46401408450004</v>
      </c>
      <c r="R72" s="5">
        <v>951.56299237540577</v>
      </c>
      <c r="S72" s="27"/>
    </row>
    <row r="73" spans="1:19" x14ac:dyDescent="0.3">
      <c r="A73" s="105"/>
      <c r="B73" s="24" t="s">
        <v>52</v>
      </c>
      <c r="C73" s="34">
        <v>4</v>
      </c>
      <c r="D73" s="34">
        <v>45</v>
      </c>
      <c r="E73" s="5">
        <f t="shared" si="1"/>
        <v>11.25</v>
      </c>
      <c r="F73" s="6">
        <v>4</v>
      </c>
      <c r="G73" s="34">
        <v>20</v>
      </c>
      <c r="H73" s="5">
        <v>2</v>
      </c>
      <c r="I73" s="5">
        <v>8.453125</v>
      </c>
      <c r="J73" s="5">
        <v>5.9993006913886378</v>
      </c>
      <c r="K73" s="5">
        <v>5.68</v>
      </c>
      <c r="L73" s="5">
        <v>6.3289473683999997</v>
      </c>
      <c r="M73" s="5">
        <v>5.9758586820000001</v>
      </c>
      <c r="N73" s="48"/>
      <c r="O73" s="48"/>
      <c r="P73" s="5">
        <v>949.85071428569995</v>
      </c>
      <c r="Q73" s="5">
        <v>944.38322368449997</v>
      </c>
      <c r="R73" s="5">
        <v>947.92103606370006</v>
      </c>
      <c r="S73" s="27"/>
    </row>
    <row r="74" spans="1:19" x14ac:dyDescent="0.3">
      <c r="A74" s="105"/>
      <c r="B74" s="24" t="s">
        <v>12</v>
      </c>
      <c r="C74" s="34">
        <v>5</v>
      </c>
      <c r="D74" s="34">
        <v>30</v>
      </c>
      <c r="E74" s="5">
        <f t="shared" si="1"/>
        <v>6</v>
      </c>
      <c r="F74" s="6">
        <v>4</v>
      </c>
      <c r="G74" s="34">
        <v>7</v>
      </c>
      <c r="H74" s="5">
        <v>2.75</v>
      </c>
      <c r="I74" s="5">
        <v>7.6901408451000002</v>
      </c>
      <c r="J74" s="5">
        <v>4.9402594657699996</v>
      </c>
      <c r="K74" s="5">
        <v>4.1194029850999998</v>
      </c>
      <c r="L74" s="5">
        <v>4.6333333333000004</v>
      </c>
      <c r="M74" s="5">
        <v>4.34174433</v>
      </c>
      <c r="N74" s="48"/>
      <c r="O74" s="48"/>
      <c r="P74" s="5">
        <v>969.5167910445</v>
      </c>
      <c r="Q74" s="5">
        <v>963.67083333369999</v>
      </c>
      <c r="R74" s="5">
        <v>966.98765824625002</v>
      </c>
      <c r="S74" s="27"/>
    </row>
    <row r="75" spans="1:19" x14ac:dyDescent="0.3">
      <c r="A75" s="106"/>
      <c r="B75" s="24" t="s">
        <v>79</v>
      </c>
      <c r="C75" s="34">
        <v>3</v>
      </c>
      <c r="D75" s="34">
        <v>4</v>
      </c>
      <c r="E75" s="5">
        <f t="shared" si="1"/>
        <v>1.3333333333333333</v>
      </c>
      <c r="F75" s="6">
        <v>2</v>
      </c>
      <c r="G75" s="34">
        <v>1</v>
      </c>
      <c r="H75" s="5">
        <v>5.21875</v>
      </c>
      <c r="I75" s="5">
        <v>7.1194029850999998</v>
      </c>
      <c r="J75" s="5">
        <v>6.1775938018250001</v>
      </c>
      <c r="K75" s="48"/>
      <c r="L75" s="48"/>
      <c r="M75" s="5">
        <v>6.79581260365</v>
      </c>
      <c r="N75" s="48"/>
      <c r="O75" s="48"/>
      <c r="P75" s="48"/>
      <c r="Q75" s="48"/>
      <c r="R75" s="5">
        <v>937.95048877634997</v>
      </c>
      <c r="S75" s="27"/>
    </row>
    <row r="76" spans="1:19" x14ac:dyDescent="0.3">
      <c r="A76" s="104" t="s">
        <v>38</v>
      </c>
      <c r="B76" s="24" t="s">
        <v>53</v>
      </c>
      <c r="C76" s="34">
        <v>14</v>
      </c>
      <c r="D76" s="34">
        <v>70</v>
      </c>
      <c r="E76" s="5">
        <f t="shared" si="1"/>
        <v>5</v>
      </c>
      <c r="F76" s="6">
        <v>13</v>
      </c>
      <c r="G76" s="34">
        <v>39</v>
      </c>
      <c r="H76" s="5">
        <v>2.5</v>
      </c>
      <c r="I76" s="5">
        <v>8.2769230768999993</v>
      </c>
      <c r="J76" s="5">
        <v>5.7096495024885732</v>
      </c>
      <c r="K76" s="5">
        <v>2.5</v>
      </c>
      <c r="L76" s="5">
        <v>6.4189189189000002</v>
      </c>
      <c r="M76" s="5">
        <v>5.259232065115385</v>
      </c>
      <c r="N76" s="46">
        <v>6.3</v>
      </c>
      <c r="O76" s="46">
        <v>6.4155844155999997</v>
      </c>
      <c r="P76" s="5">
        <v>981.99464285709996</v>
      </c>
      <c r="Q76" s="5">
        <v>943.35979729749999</v>
      </c>
      <c r="R76" s="5">
        <v>955.44475174283843</v>
      </c>
      <c r="S76" s="27"/>
    </row>
    <row r="77" spans="1:19" x14ac:dyDescent="0.3">
      <c r="A77" s="106"/>
      <c r="B77" s="24" t="s">
        <v>54</v>
      </c>
      <c r="C77" s="34">
        <v>2</v>
      </c>
      <c r="D77" s="34">
        <v>10</v>
      </c>
      <c r="E77" s="5">
        <f t="shared" si="1"/>
        <v>5</v>
      </c>
      <c r="F77" s="6">
        <v>1</v>
      </c>
      <c r="G77" s="34">
        <v>8</v>
      </c>
      <c r="H77" s="5">
        <v>4.0833333332999997</v>
      </c>
      <c r="I77" s="5">
        <v>7.8333333332999997</v>
      </c>
      <c r="J77" s="5">
        <v>6.5057102797599997</v>
      </c>
      <c r="K77" s="48"/>
      <c r="L77" s="48"/>
      <c r="M77" s="48"/>
      <c r="N77" s="48"/>
      <c r="O77" s="48"/>
      <c r="P77" s="48"/>
      <c r="Q77" s="48"/>
      <c r="R77" s="48"/>
      <c r="S77" s="27"/>
    </row>
    <row r="78" spans="1:19" x14ac:dyDescent="0.3">
      <c r="A78" s="104" t="s">
        <v>39</v>
      </c>
      <c r="B78" s="24" t="s">
        <v>72</v>
      </c>
      <c r="C78" s="34">
        <v>10</v>
      </c>
      <c r="D78" s="34">
        <v>59</v>
      </c>
      <c r="E78" s="5">
        <f t="shared" si="1"/>
        <v>5.9</v>
      </c>
      <c r="F78" s="6">
        <v>10</v>
      </c>
      <c r="G78" s="34">
        <v>29</v>
      </c>
      <c r="H78" s="5">
        <v>2.5882352941</v>
      </c>
      <c r="I78" s="5">
        <v>8.0659340659000005</v>
      </c>
      <c r="J78" s="5">
        <v>5.1753929419338984</v>
      </c>
      <c r="K78" s="5">
        <v>2.5882352941</v>
      </c>
      <c r="L78" s="5">
        <v>5.4545454544999998</v>
      </c>
      <c r="M78" s="5">
        <v>4.4194881303500004</v>
      </c>
      <c r="N78" s="46">
        <v>5.0571428570999997</v>
      </c>
      <c r="O78" s="46">
        <v>5.4545454544999998</v>
      </c>
      <c r="P78" s="5">
        <v>986.93382352959998</v>
      </c>
      <c r="Q78" s="5">
        <v>954.32954545509995</v>
      </c>
      <c r="R78" s="5">
        <v>965.96617966014014</v>
      </c>
      <c r="S78" s="27"/>
    </row>
    <row r="79" spans="1:19" x14ac:dyDescent="0.3">
      <c r="A79" s="105"/>
      <c r="B79" s="24" t="s">
        <v>14</v>
      </c>
      <c r="C79" s="34">
        <v>5</v>
      </c>
      <c r="D79" s="34">
        <v>23</v>
      </c>
      <c r="E79" s="5">
        <f t="shared" si="1"/>
        <v>4.5999999999999996</v>
      </c>
      <c r="F79" s="6">
        <v>5</v>
      </c>
      <c r="G79" s="34">
        <v>13</v>
      </c>
      <c r="H79" s="5">
        <v>4.8571428571000004</v>
      </c>
      <c r="I79" s="5">
        <v>8.1891891892000004</v>
      </c>
      <c r="J79" s="5">
        <v>6.6059361901913034</v>
      </c>
      <c r="K79" s="5">
        <v>5</v>
      </c>
      <c r="L79" s="5">
        <v>7.4657534246999999</v>
      </c>
      <c r="M79" s="5">
        <v>6.2744504949200008</v>
      </c>
      <c r="N79" s="46">
        <v>6.9275362318999996</v>
      </c>
      <c r="O79" s="46">
        <v>7.4657534246999999</v>
      </c>
      <c r="P79" s="5">
        <v>959.5</v>
      </c>
      <c r="Q79" s="5">
        <v>931.45205479399999</v>
      </c>
      <c r="R79" s="5">
        <v>944.82026847741997</v>
      </c>
      <c r="S79" s="27"/>
    </row>
    <row r="80" spans="1:19" x14ac:dyDescent="0.3">
      <c r="A80" s="105"/>
      <c r="B80" s="24" t="s">
        <v>80</v>
      </c>
      <c r="C80" s="34">
        <v>3</v>
      </c>
      <c r="D80" s="34">
        <v>4</v>
      </c>
      <c r="E80" s="5">
        <f t="shared" si="1"/>
        <v>1.3333333333333333</v>
      </c>
      <c r="F80" s="6">
        <v>0</v>
      </c>
      <c r="G80" s="34">
        <v>1</v>
      </c>
      <c r="H80" s="5">
        <v>4.9166666667000003</v>
      </c>
      <c r="I80" s="5">
        <v>7.6097560976</v>
      </c>
      <c r="J80" s="5">
        <v>6.2837521557249998</v>
      </c>
      <c r="K80" s="48"/>
      <c r="L80" s="48"/>
      <c r="M80" s="48"/>
      <c r="N80" s="48"/>
      <c r="O80" s="48"/>
      <c r="P80" s="48"/>
      <c r="Q80" s="48"/>
      <c r="R80" s="48"/>
      <c r="S80" s="27"/>
    </row>
    <row r="81" spans="1:19" x14ac:dyDescent="0.3">
      <c r="A81" s="105"/>
      <c r="B81" s="24" t="s">
        <v>81</v>
      </c>
      <c r="C81" s="34">
        <v>3</v>
      </c>
      <c r="D81" s="34">
        <v>10</v>
      </c>
      <c r="E81" s="5">
        <f t="shared" si="1"/>
        <v>3.3333333333333335</v>
      </c>
      <c r="F81" s="6">
        <v>3</v>
      </c>
      <c r="G81" s="34">
        <v>5</v>
      </c>
      <c r="H81" s="5">
        <v>5.0704225351999996</v>
      </c>
      <c r="I81" s="5">
        <v>8.1428571429000005</v>
      </c>
      <c r="J81" s="5">
        <v>6.7083887840299994</v>
      </c>
      <c r="K81" s="5">
        <v>5.8227848100999999</v>
      </c>
      <c r="L81" s="5">
        <v>6.5714285714000003</v>
      </c>
      <c r="M81" s="5">
        <v>6.1761805798999996</v>
      </c>
      <c r="N81" s="48"/>
      <c r="O81" s="48"/>
      <c r="P81" s="5">
        <v>950.1408227851</v>
      </c>
      <c r="Q81" s="5">
        <v>931.35500000030004</v>
      </c>
      <c r="R81" s="5">
        <v>942.47427923696671</v>
      </c>
      <c r="S81" s="27"/>
    </row>
    <row r="82" spans="1:19" x14ac:dyDescent="0.3">
      <c r="A82" s="105"/>
      <c r="B82" s="24" t="s">
        <v>55</v>
      </c>
      <c r="C82" s="34">
        <v>7</v>
      </c>
      <c r="D82" s="34">
        <v>41</v>
      </c>
      <c r="E82" s="5">
        <f t="shared" si="1"/>
        <v>5.8571428571428568</v>
      </c>
      <c r="F82" s="6">
        <v>7</v>
      </c>
      <c r="G82" s="34">
        <v>17</v>
      </c>
      <c r="H82" s="5">
        <v>3.4722222222000001</v>
      </c>
      <c r="I82" s="5">
        <v>8.3333333333000006</v>
      </c>
      <c r="J82" s="5">
        <v>5.9892965329536585</v>
      </c>
      <c r="K82" s="5">
        <v>5</v>
      </c>
      <c r="L82" s="5">
        <v>6.125</v>
      </c>
      <c r="M82" s="5">
        <v>5.8154730502999996</v>
      </c>
      <c r="N82" s="46">
        <v>6.1025641025999997</v>
      </c>
      <c r="O82" s="46">
        <v>6.125</v>
      </c>
      <c r="P82" s="5">
        <v>959.5</v>
      </c>
      <c r="Q82" s="5">
        <v>946.29428571460005</v>
      </c>
      <c r="R82" s="5">
        <v>950.12827976712856</v>
      </c>
      <c r="S82" s="27"/>
    </row>
    <row r="83" spans="1:19" x14ac:dyDescent="0.3">
      <c r="A83" s="106"/>
      <c r="B83" s="24" t="s">
        <v>87</v>
      </c>
      <c r="C83" s="34">
        <v>5</v>
      </c>
      <c r="D83" s="34">
        <v>26</v>
      </c>
      <c r="E83" s="5">
        <f t="shared" si="1"/>
        <v>5.2</v>
      </c>
      <c r="F83" s="6">
        <v>5</v>
      </c>
      <c r="G83" s="34">
        <v>1</v>
      </c>
      <c r="H83" s="5">
        <v>2.2799999999999998</v>
      </c>
      <c r="I83" s="5">
        <v>8.0277777778000008</v>
      </c>
      <c r="J83" s="5">
        <v>5.4193205038884615</v>
      </c>
      <c r="K83" s="5">
        <v>3</v>
      </c>
      <c r="L83" s="5">
        <v>4.4666666667000001</v>
      </c>
      <c r="M83" s="5">
        <v>3.8447222222400002</v>
      </c>
      <c r="N83" s="46">
        <v>4.1875</v>
      </c>
      <c r="O83" s="46">
        <v>4.4666666667000001</v>
      </c>
      <c r="P83" s="5">
        <v>982.25</v>
      </c>
      <c r="Q83" s="5">
        <v>965.56666666629997</v>
      </c>
      <c r="R83" s="5">
        <v>972.64128472201992</v>
      </c>
      <c r="S83" s="27"/>
    </row>
    <row r="84" spans="1:19" x14ac:dyDescent="0.3">
      <c r="A84" s="34" t="s">
        <v>41</v>
      </c>
      <c r="B84" s="24" t="s">
        <v>20</v>
      </c>
      <c r="C84" s="34">
        <v>11</v>
      </c>
      <c r="D84" s="34">
        <v>262</v>
      </c>
      <c r="E84" s="5">
        <f t="shared" si="1"/>
        <v>23.818181818181817</v>
      </c>
      <c r="F84" s="6">
        <v>11</v>
      </c>
      <c r="G84" s="34">
        <v>36</v>
      </c>
      <c r="H84" s="5">
        <v>1.2089552239000001</v>
      </c>
      <c r="I84" s="5">
        <v>4.8115942029000003</v>
      </c>
      <c r="J84" s="5">
        <v>1.732867263205</v>
      </c>
      <c r="K84" s="5">
        <v>1.4848484848000001</v>
      </c>
      <c r="L84" s="5">
        <v>1.7647058823999999</v>
      </c>
      <c r="M84" s="5">
        <v>1.6020960789200001</v>
      </c>
      <c r="N84" s="46">
        <v>1.6712328767</v>
      </c>
      <c r="O84" s="46">
        <v>1.7647058823999999</v>
      </c>
      <c r="P84" s="5">
        <v>999.48484848539999</v>
      </c>
      <c r="Q84" s="5">
        <v>996.30147058770001</v>
      </c>
      <c r="R84" s="5">
        <v>998.18287009298183</v>
      </c>
      <c r="S84" s="27"/>
    </row>
    <row r="85" spans="1:19" x14ac:dyDescent="0.3">
      <c r="A85" s="104" t="s">
        <v>42</v>
      </c>
      <c r="B85" s="24" t="s">
        <v>8</v>
      </c>
      <c r="C85" s="34">
        <v>2</v>
      </c>
      <c r="D85" s="34">
        <v>6</v>
      </c>
      <c r="E85" s="5">
        <f t="shared" si="1"/>
        <v>3</v>
      </c>
      <c r="F85" s="6">
        <v>0</v>
      </c>
      <c r="G85" s="34">
        <v>4</v>
      </c>
      <c r="H85" s="5">
        <v>4.9298245614000002</v>
      </c>
      <c r="I85" s="5">
        <v>7.1234567900999997</v>
      </c>
      <c r="J85" s="5">
        <v>6.0759693375500001</v>
      </c>
      <c r="K85" s="48" t="s">
        <v>94</v>
      </c>
      <c r="L85" s="48" t="s">
        <v>94</v>
      </c>
      <c r="M85" s="48" t="s">
        <v>94</v>
      </c>
      <c r="N85" s="48"/>
      <c r="O85" s="48"/>
      <c r="P85" s="48" t="s">
        <v>94</v>
      </c>
      <c r="Q85" s="48" t="s">
        <v>94</v>
      </c>
      <c r="R85" s="48" t="s">
        <v>94</v>
      </c>
      <c r="S85" s="27"/>
    </row>
    <row r="86" spans="1:19" x14ac:dyDescent="0.3">
      <c r="A86" s="106"/>
      <c r="B86" s="24" t="s">
        <v>43</v>
      </c>
      <c r="C86" s="34">
        <v>28</v>
      </c>
      <c r="D86" s="34">
        <v>120</v>
      </c>
      <c r="E86" s="5">
        <f t="shared" si="1"/>
        <v>4.2857142857142856</v>
      </c>
      <c r="F86" s="6">
        <v>27</v>
      </c>
      <c r="G86" s="34">
        <v>54</v>
      </c>
      <c r="H86" s="5">
        <v>2.9863013699000001</v>
      </c>
      <c r="I86" s="5">
        <v>8.2249999999999996</v>
      </c>
      <c r="J86" s="5">
        <v>5.4573705143425002</v>
      </c>
      <c r="K86" s="5">
        <v>4.1904761905000001</v>
      </c>
      <c r="L86" s="5">
        <v>5.8611111110999996</v>
      </c>
      <c r="M86" s="5">
        <v>5.1311683210666672</v>
      </c>
      <c r="N86" s="46">
        <v>5.6417910447999997</v>
      </c>
      <c r="O86" s="46">
        <v>5.8375000000000004</v>
      </c>
      <c r="P86" s="5">
        <v>967.46249999999998</v>
      </c>
      <c r="Q86" s="5">
        <v>949.70486111119999</v>
      </c>
      <c r="R86" s="5">
        <v>957.82325135316296</v>
      </c>
      <c r="S86" s="27"/>
    </row>
    <row r="87" spans="1:19" x14ac:dyDescent="0.3">
      <c r="A87" s="92" t="s">
        <v>21</v>
      </c>
      <c r="B87" s="93"/>
      <c r="C87" s="23">
        <f>SUM(C58:C86)</f>
        <v>228</v>
      </c>
      <c r="D87" s="33">
        <f>SUM(D58:D86)</f>
        <v>1449</v>
      </c>
      <c r="E87" s="8">
        <v>6.3097826086956523</v>
      </c>
      <c r="F87" s="23">
        <f>SUM(F58:F86)</f>
        <v>207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8"/>
    </row>
    <row r="89" spans="1:19" x14ac:dyDescent="0.3">
      <c r="A89" s="87" t="s">
        <v>0</v>
      </c>
      <c r="B89" s="95" t="s">
        <v>1</v>
      </c>
      <c r="C89" s="51" t="s">
        <v>23</v>
      </c>
      <c r="D89" s="52"/>
      <c r="E89" s="52"/>
      <c r="F89" s="52"/>
      <c r="G89" s="53"/>
      <c r="H89" s="67" t="s">
        <v>100</v>
      </c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3" t="s">
        <v>75</v>
      </c>
    </row>
    <row r="90" spans="1:19" x14ac:dyDescent="0.3">
      <c r="A90" s="88"/>
      <c r="B90" s="96"/>
      <c r="C90" s="54"/>
      <c r="D90" s="55"/>
      <c r="E90" s="55"/>
      <c r="F90" s="55"/>
      <c r="G90" s="56"/>
      <c r="H90" s="83" t="s">
        <v>76</v>
      </c>
      <c r="I90" s="84"/>
      <c r="J90" s="85"/>
      <c r="K90" s="77" t="s">
        <v>77</v>
      </c>
      <c r="L90" s="78"/>
      <c r="M90" s="78"/>
      <c r="N90" s="78"/>
      <c r="O90" s="78"/>
      <c r="P90" s="78"/>
      <c r="Q90" s="78"/>
      <c r="R90" s="78"/>
      <c r="S90" s="63"/>
    </row>
    <row r="91" spans="1:19" ht="16.5" customHeight="1" x14ac:dyDescent="0.3">
      <c r="A91" s="88"/>
      <c r="B91" s="96"/>
      <c r="C91" s="70" t="s">
        <v>3</v>
      </c>
      <c r="D91" s="71"/>
      <c r="E91" s="72"/>
      <c r="F91" s="73" t="s">
        <v>4</v>
      </c>
      <c r="G91" s="75" t="s">
        <v>93</v>
      </c>
      <c r="H91" s="86" t="s">
        <v>66</v>
      </c>
      <c r="I91" s="86"/>
      <c r="J91" s="86"/>
      <c r="K91" s="82" t="s">
        <v>66</v>
      </c>
      <c r="L91" s="82"/>
      <c r="M91" s="82"/>
      <c r="N91" s="82"/>
      <c r="O91" s="82"/>
      <c r="P91" s="82" t="s">
        <v>65</v>
      </c>
      <c r="Q91" s="82"/>
      <c r="R91" s="82"/>
      <c r="S91" s="63"/>
    </row>
    <row r="92" spans="1:19" x14ac:dyDescent="0.3">
      <c r="A92" s="89"/>
      <c r="B92" s="107"/>
      <c r="C92" s="1" t="s">
        <v>5</v>
      </c>
      <c r="D92" s="1" t="s">
        <v>6</v>
      </c>
      <c r="E92" s="2" t="s">
        <v>7</v>
      </c>
      <c r="F92" s="74"/>
      <c r="G92" s="76"/>
      <c r="H92" s="22" t="s">
        <v>67</v>
      </c>
      <c r="I92" s="22" t="s">
        <v>64</v>
      </c>
      <c r="J92" s="22" t="s">
        <v>68</v>
      </c>
      <c r="K92" s="50" t="s">
        <v>67</v>
      </c>
      <c r="L92" s="50" t="s">
        <v>64</v>
      </c>
      <c r="M92" s="50" t="s">
        <v>68</v>
      </c>
      <c r="N92" s="50" t="s">
        <v>69</v>
      </c>
      <c r="O92" s="50" t="s">
        <v>70</v>
      </c>
      <c r="P92" s="50" t="s">
        <v>62</v>
      </c>
      <c r="Q92" s="50" t="s">
        <v>64</v>
      </c>
      <c r="R92" s="50" t="s">
        <v>63</v>
      </c>
      <c r="S92" s="63"/>
    </row>
    <row r="93" spans="1:19" x14ac:dyDescent="0.3">
      <c r="A93" s="4" t="s">
        <v>32</v>
      </c>
      <c r="B93" s="3" t="s">
        <v>11</v>
      </c>
      <c r="C93" s="4">
        <v>2</v>
      </c>
      <c r="D93" s="20">
        <v>20</v>
      </c>
      <c r="E93" s="5">
        <f>D93/C93</f>
        <v>10</v>
      </c>
      <c r="F93" s="6">
        <v>2</v>
      </c>
      <c r="G93" s="4">
        <v>2</v>
      </c>
      <c r="H93" s="5">
        <v>2.6</v>
      </c>
      <c r="I93" s="5">
        <v>5.9615384615</v>
      </c>
      <c r="J93" s="5">
        <v>4.465586354111112</v>
      </c>
      <c r="K93" s="49"/>
      <c r="L93" s="48"/>
      <c r="M93" s="5">
        <v>3.6319767442000002</v>
      </c>
      <c r="N93" s="48"/>
      <c r="O93" s="48"/>
      <c r="P93" s="49"/>
      <c r="Q93" s="49"/>
      <c r="R93" s="5">
        <v>975.06126453475008</v>
      </c>
      <c r="S93" s="27"/>
    </row>
    <row r="94" spans="1:19" x14ac:dyDescent="0.3">
      <c r="A94" s="92" t="s">
        <v>21</v>
      </c>
      <c r="B94" s="93"/>
      <c r="C94" s="7">
        <f>SUM(C93:C93)</f>
        <v>2</v>
      </c>
      <c r="D94" s="7">
        <f>SUM(D93:D93)</f>
        <v>20</v>
      </c>
      <c r="E94" s="8">
        <f>D94/C94</f>
        <v>10</v>
      </c>
      <c r="F94" s="7">
        <v>2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47"/>
      <c r="R94" s="7"/>
      <c r="S94" s="28"/>
    </row>
    <row r="96" spans="1:19" x14ac:dyDescent="0.3">
      <c r="A96" s="87" t="s">
        <v>0</v>
      </c>
      <c r="B96" s="95" t="s">
        <v>1</v>
      </c>
      <c r="C96" s="51" t="s">
        <v>56</v>
      </c>
      <c r="D96" s="52"/>
      <c r="E96" s="52"/>
      <c r="F96" s="52"/>
      <c r="G96" s="53"/>
      <c r="H96" s="67" t="s">
        <v>100</v>
      </c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3" t="s">
        <v>75</v>
      </c>
    </row>
    <row r="97" spans="1:19" x14ac:dyDescent="0.3">
      <c r="A97" s="88"/>
      <c r="B97" s="96"/>
      <c r="C97" s="54"/>
      <c r="D97" s="55"/>
      <c r="E97" s="55"/>
      <c r="F97" s="55"/>
      <c r="G97" s="56"/>
      <c r="H97" s="83" t="s">
        <v>76</v>
      </c>
      <c r="I97" s="84"/>
      <c r="J97" s="85"/>
      <c r="K97" s="77" t="s">
        <v>77</v>
      </c>
      <c r="L97" s="78"/>
      <c r="M97" s="78"/>
      <c r="N97" s="78"/>
      <c r="O97" s="78"/>
      <c r="P97" s="78"/>
      <c r="Q97" s="78"/>
      <c r="R97" s="78"/>
      <c r="S97" s="63"/>
    </row>
    <row r="98" spans="1:19" ht="16.5" customHeight="1" x14ac:dyDescent="0.3">
      <c r="A98" s="88"/>
      <c r="B98" s="96"/>
      <c r="C98" s="70" t="s">
        <v>3</v>
      </c>
      <c r="D98" s="71"/>
      <c r="E98" s="72"/>
      <c r="F98" s="73" t="s">
        <v>4</v>
      </c>
      <c r="G98" s="75" t="s">
        <v>93</v>
      </c>
      <c r="H98" s="86" t="s">
        <v>66</v>
      </c>
      <c r="I98" s="86"/>
      <c r="J98" s="86"/>
      <c r="K98" s="82" t="s">
        <v>66</v>
      </c>
      <c r="L98" s="82"/>
      <c r="M98" s="82"/>
      <c r="N98" s="82"/>
      <c r="O98" s="82"/>
      <c r="P98" s="82" t="s">
        <v>65</v>
      </c>
      <c r="Q98" s="82"/>
      <c r="R98" s="82"/>
      <c r="S98" s="63"/>
    </row>
    <row r="99" spans="1:19" x14ac:dyDescent="0.3">
      <c r="A99" s="88"/>
      <c r="B99" s="96"/>
      <c r="C99" s="16" t="s">
        <v>5</v>
      </c>
      <c r="D99" s="16" t="s">
        <v>6</v>
      </c>
      <c r="E99" s="17" t="s">
        <v>7</v>
      </c>
      <c r="F99" s="111"/>
      <c r="G99" s="76"/>
      <c r="H99" s="22" t="s">
        <v>67</v>
      </c>
      <c r="I99" s="22" t="s">
        <v>64</v>
      </c>
      <c r="J99" s="22" t="s">
        <v>68</v>
      </c>
      <c r="K99" s="50" t="s">
        <v>67</v>
      </c>
      <c r="L99" s="50" t="s">
        <v>64</v>
      </c>
      <c r="M99" s="50" t="s">
        <v>68</v>
      </c>
      <c r="N99" s="50" t="s">
        <v>69</v>
      </c>
      <c r="O99" s="50" t="s">
        <v>70</v>
      </c>
      <c r="P99" s="50" t="s">
        <v>62</v>
      </c>
      <c r="Q99" s="50" t="s">
        <v>64</v>
      </c>
      <c r="R99" s="50" t="s">
        <v>63</v>
      </c>
      <c r="S99" s="63"/>
    </row>
    <row r="100" spans="1:19" x14ac:dyDescent="0.3">
      <c r="A100" s="122" t="s">
        <v>29</v>
      </c>
      <c r="B100" s="3" t="s">
        <v>44</v>
      </c>
      <c r="C100" s="4">
        <v>2</v>
      </c>
      <c r="D100" s="4">
        <v>5</v>
      </c>
      <c r="E100" s="5">
        <f>D100/C100</f>
        <v>2.5</v>
      </c>
      <c r="F100" s="6">
        <v>2</v>
      </c>
      <c r="G100" s="20">
        <v>1</v>
      </c>
      <c r="H100" s="5">
        <v>4.5063291138999997</v>
      </c>
      <c r="I100" s="5">
        <v>7.5810810810999998</v>
      </c>
      <c r="J100" s="5">
        <v>6.0810576446800004</v>
      </c>
      <c r="K100" s="48"/>
      <c r="L100" s="48"/>
      <c r="M100" s="5">
        <v>5.9484126984000003</v>
      </c>
      <c r="N100" s="48"/>
      <c r="O100" s="48"/>
      <c r="P100" s="48"/>
      <c r="Q100" s="48"/>
      <c r="R100" s="5">
        <v>948.71180555570004</v>
      </c>
      <c r="S100" s="27"/>
    </row>
    <row r="101" spans="1:19" x14ac:dyDescent="0.3">
      <c r="A101" s="122"/>
      <c r="B101" s="3" t="s">
        <v>61</v>
      </c>
      <c r="C101" s="34">
        <v>3</v>
      </c>
      <c r="D101" s="34">
        <v>8</v>
      </c>
      <c r="E101" s="5">
        <f t="shared" ref="E101:E119" si="2">D101/C101</f>
        <v>2.6666666666666665</v>
      </c>
      <c r="F101" s="6">
        <v>2</v>
      </c>
      <c r="G101" s="34">
        <v>4</v>
      </c>
      <c r="H101" s="5">
        <v>4.4492753622999999</v>
      </c>
      <c r="I101" s="5">
        <v>8.1530612245</v>
      </c>
      <c r="J101" s="5">
        <v>6.3385295114500009</v>
      </c>
      <c r="K101" s="48"/>
      <c r="L101" s="48"/>
      <c r="M101" s="5">
        <v>7.4459459459000001</v>
      </c>
      <c r="N101" s="48"/>
      <c r="O101" s="48"/>
      <c r="P101" s="48"/>
      <c r="Q101" s="48"/>
      <c r="R101" s="5">
        <v>915.36415862309991</v>
      </c>
      <c r="S101" s="27"/>
    </row>
    <row r="102" spans="1:19" x14ac:dyDescent="0.3">
      <c r="A102" s="122"/>
      <c r="B102" s="3" t="s">
        <v>45</v>
      </c>
      <c r="C102" s="34">
        <v>4</v>
      </c>
      <c r="D102" s="34">
        <v>7</v>
      </c>
      <c r="E102" s="5">
        <f t="shared" si="2"/>
        <v>1.75</v>
      </c>
      <c r="F102" s="6">
        <v>2</v>
      </c>
      <c r="G102" s="34">
        <v>2</v>
      </c>
      <c r="H102" s="5">
        <v>5.6133333332999999</v>
      </c>
      <c r="I102" s="5">
        <v>7.7901234568</v>
      </c>
      <c r="J102" s="5">
        <v>6.4956985730200003</v>
      </c>
      <c r="K102" s="48"/>
      <c r="L102" s="48"/>
      <c r="M102" s="5">
        <v>5.8409090909000003</v>
      </c>
      <c r="N102" s="48"/>
      <c r="O102" s="48"/>
      <c r="P102" s="48"/>
      <c r="Q102" s="48"/>
      <c r="R102" s="5">
        <v>930.49042478355</v>
      </c>
      <c r="S102" s="27"/>
    </row>
    <row r="103" spans="1:19" x14ac:dyDescent="0.3">
      <c r="A103" s="122" t="s">
        <v>30</v>
      </c>
      <c r="B103" s="3" t="s">
        <v>46</v>
      </c>
      <c r="C103" s="34">
        <v>2</v>
      </c>
      <c r="D103" s="34">
        <v>8</v>
      </c>
      <c r="E103" s="5">
        <f t="shared" si="2"/>
        <v>4</v>
      </c>
      <c r="F103" s="6">
        <v>2</v>
      </c>
      <c r="G103" s="34">
        <v>5</v>
      </c>
      <c r="H103" s="5">
        <v>2.9333333332999998</v>
      </c>
      <c r="I103" s="5">
        <v>6.4642857142999999</v>
      </c>
      <c r="J103" s="5">
        <v>5.2553937516999998</v>
      </c>
      <c r="K103" s="48"/>
      <c r="L103" s="48"/>
      <c r="M103" s="5">
        <v>5.7215189873500005</v>
      </c>
      <c r="N103" s="48"/>
      <c r="O103" s="48"/>
      <c r="P103" s="48"/>
      <c r="Q103" s="48"/>
      <c r="R103" s="5">
        <v>951.29272151889995</v>
      </c>
      <c r="S103" s="27"/>
    </row>
    <row r="104" spans="1:19" x14ac:dyDescent="0.3">
      <c r="A104" s="122"/>
      <c r="B104" s="3" t="s">
        <v>47</v>
      </c>
      <c r="C104" s="34">
        <v>2</v>
      </c>
      <c r="D104" s="34">
        <v>3</v>
      </c>
      <c r="E104" s="5">
        <f t="shared" si="2"/>
        <v>1.5</v>
      </c>
      <c r="F104" s="6">
        <v>2</v>
      </c>
      <c r="G104" s="34">
        <v>0</v>
      </c>
      <c r="H104" s="5">
        <v>5.3793103448000004</v>
      </c>
      <c r="I104" s="5">
        <v>6</v>
      </c>
      <c r="J104" s="5">
        <v>5.7931034482666668</v>
      </c>
      <c r="K104" s="48"/>
      <c r="L104" s="48"/>
      <c r="M104" s="5">
        <v>5.6896551724000002</v>
      </c>
      <c r="N104" s="48"/>
      <c r="O104" s="48"/>
      <c r="P104" s="48"/>
      <c r="Q104" s="48"/>
      <c r="R104" s="5">
        <v>948.51874384250004</v>
      </c>
      <c r="S104" s="27"/>
    </row>
    <row r="105" spans="1:19" x14ac:dyDescent="0.3">
      <c r="A105" s="122" t="s">
        <v>32</v>
      </c>
      <c r="B105" s="3" t="s">
        <v>48</v>
      </c>
      <c r="C105" s="34">
        <v>2</v>
      </c>
      <c r="D105" s="34">
        <v>4</v>
      </c>
      <c r="E105" s="5">
        <f t="shared" si="2"/>
        <v>2</v>
      </c>
      <c r="F105" s="6">
        <v>2</v>
      </c>
      <c r="G105" s="34">
        <v>0</v>
      </c>
      <c r="H105" s="5">
        <v>4.6944444444000002</v>
      </c>
      <c r="I105" s="5">
        <v>5.6511627906999999</v>
      </c>
      <c r="J105" s="5">
        <v>5.0437738402666668</v>
      </c>
      <c r="K105" s="48"/>
      <c r="L105" s="48"/>
      <c r="M105" s="5">
        <v>4.7400793650500006</v>
      </c>
      <c r="N105" s="48"/>
      <c r="O105" s="48"/>
      <c r="P105" s="48"/>
      <c r="Q105" s="48"/>
      <c r="R105" s="5">
        <v>962.45659722260007</v>
      </c>
      <c r="S105" s="27"/>
    </row>
    <row r="106" spans="1:19" x14ac:dyDescent="0.3">
      <c r="A106" s="122"/>
      <c r="B106" s="3" t="s">
        <v>49</v>
      </c>
      <c r="C106" s="34">
        <v>2</v>
      </c>
      <c r="D106" s="34">
        <v>5</v>
      </c>
      <c r="E106" s="5">
        <f t="shared" si="2"/>
        <v>2.5</v>
      </c>
      <c r="F106" s="6">
        <v>2</v>
      </c>
      <c r="G106" s="34">
        <v>1</v>
      </c>
      <c r="H106" s="5">
        <v>6.8333333332999997</v>
      </c>
      <c r="I106" s="5">
        <v>8.3285714286000001</v>
      </c>
      <c r="J106" s="5">
        <v>7.6249635819500003</v>
      </c>
      <c r="K106" s="48"/>
      <c r="L106" s="48"/>
      <c r="M106" s="5">
        <v>7.6689747829500003</v>
      </c>
      <c r="N106" s="48"/>
      <c r="O106" s="48"/>
      <c r="P106" s="48"/>
      <c r="Q106" s="48"/>
      <c r="R106" s="5">
        <v>928.14041184395001</v>
      </c>
      <c r="S106" s="27"/>
    </row>
    <row r="107" spans="1:19" x14ac:dyDescent="0.3">
      <c r="A107" s="122"/>
      <c r="B107" s="3" t="s">
        <v>11</v>
      </c>
      <c r="C107" s="34">
        <v>3</v>
      </c>
      <c r="D107" s="34">
        <v>40</v>
      </c>
      <c r="E107" s="5">
        <f t="shared" si="2"/>
        <v>13.333333333333334</v>
      </c>
      <c r="F107" s="6">
        <v>3</v>
      </c>
      <c r="G107" s="34">
        <v>4</v>
      </c>
      <c r="H107" s="5">
        <v>1.8947368420999999</v>
      </c>
      <c r="I107" s="5">
        <v>6.2195121951000001</v>
      </c>
      <c r="J107" s="5">
        <v>4.0345494127432424</v>
      </c>
      <c r="K107" s="5">
        <v>2.3666666667</v>
      </c>
      <c r="L107" s="5">
        <v>2.5921052632000001</v>
      </c>
      <c r="M107" s="5">
        <v>2.4862573099666672</v>
      </c>
      <c r="N107" s="48"/>
      <c r="O107" s="48"/>
      <c r="P107" s="5">
        <v>989.45416666630001</v>
      </c>
      <c r="Q107" s="5">
        <v>983.39123120249997</v>
      </c>
      <c r="R107" s="5">
        <v>986.92763262293329</v>
      </c>
      <c r="S107" s="27"/>
    </row>
    <row r="108" spans="1:19" x14ac:dyDescent="0.3">
      <c r="A108" s="122" t="s">
        <v>33</v>
      </c>
      <c r="B108" s="3" t="s">
        <v>50</v>
      </c>
      <c r="C108" s="34">
        <v>3</v>
      </c>
      <c r="D108" s="34">
        <v>4</v>
      </c>
      <c r="E108" s="5">
        <f t="shared" si="2"/>
        <v>1.3333333333333333</v>
      </c>
      <c r="F108" s="6">
        <v>1</v>
      </c>
      <c r="G108" s="34">
        <v>0</v>
      </c>
      <c r="H108" s="5">
        <v>5.2686567163999998</v>
      </c>
      <c r="I108" s="5">
        <v>7.2424242424000003</v>
      </c>
      <c r="J108" s="5">
        <v>6.3125825418333337</v>
      </c>
      <c r="K108" s="48"/>
      <c r="L108" s="48"/>
      <c r="M108" s="48"/>
      <c r="N108" s="48"/>
      <c r="O108" s="48"/>
      <c r="P108" s="48"/>
      <c r="Q108" s="48"/>
      <c r="R108" s="48"/>
      <c r="S108" s="27"/>
    </row>
    <row r="109" spans="1:19" x14ac:dyDescent="0.3">
      <c r="A109" s="122"/>
      <c r="B109" s="3" t="s">
        <v>35</v>
      </c>
      <c r="C109" s="34">
        <v>3</v>
      </c>
      <c r="D109" s="34">
        <v>16</v>
      </c>
      <c r="E109" s="5">
        <f t="shared" si="2"/>
        <v>5.333333333333333</v>
      </c>
      <c r="F109" s="6">
        <v>3</v>
      </c>
      <c r="G109" s="34">
        <v>1</v>
      </c>
      <c r="H109" s="5">
        <v>2.5666666667000002</v>
      </c>
      <c r="I109" s="5">
        <v>7.0266666666999997</v>
      </c>
      <c r="J109" s="5">
        <v>5.5012938662066668</v>
      </c>
      <c r="K109" s="5">
        <v>2.5666666667000002</v>
      </c>
      <c r="L109" s="5">
        <v>5.3589743590000003</v>
      </c>
      <c r="M109" s="5">
        <v>4.1445258445333328</v>
      </c>
      <c r="N109" s="48"/>
      <c r="O109" s="48"/>
      <c r="P109" s="5">
        <v>987.17916666630003</v>
      </c>
      <c r="Q109" s="5">
        <v>955.41666666640003</v>
      </c>
      <c r="R109" s="5">
        <v>969.2310185184333</v>
      </c>
      <c r="S109" s="27"/>
    </row>
    <row r="110" spans="1:19" x14ac:dyDescent="0.3">
      <c r="A110" s="122"/>
      <c r="B110" s="3" t="s">
        <v>51</v>
      </c>
      <c r="C110" s="34">
        <v>4</v>
      </c>
      <c r="D110" s="34">
        <v>6</v>
      </c>
      <c r="E110" s="5">
        <f t="shared" si="2"/>
        <v>1.5</v>
      </c>
      <c r="F110" s="6">
        <v>2</v>
      </c>
      <c r="G110" s="34">
        <v>1</v>
      </c>
      <c r="H110" s="5">
        <v>6.2946428571000004</v>
      </c>
      <c r="I110" s="5">
        <v>8.2926829267999995</v>
      </c>
      <c r="J110" s="5">
        <v>7.181909601220001</v>
      </c>
      <c r="K110" s="48"/>
      <c r="L110" s="48"/>
      <c r="M110" s="5">
        <v>7.1611111111000003</v>
      </c>
      <c r="N110" s="48"/>
      <c r="O110" s="48"/>
      <c r="P110" s="48"/>
      <c r="Q110" s="48"/>
      <c r="R110" s="5">
        <v>933.4395039684</v>
      </c>
      <c r="S110" s="27"/>
    </row>
    <row r="111" spans="1:19" x14ac:dyDescent="0.3">
      <c r="A111" s="122"/>
      <c r="B111" s="42" t="s">
        <v>52</v>
      </c>
      <c r="C111" s="4">
        <v>4</v>
      </c>
      <c r="D111" s="20">
        <v>11</v>
      </c>
      <c r="E111" s="5">
        <f t="shared" si="2"/>
        <v>2.75</v>
      </c>
      <c r="F111" s="6">
        <v>4</v>
      </c>
      <c r="G111" s="34">
        <v>7</v>
      </c>
      <c r="H111" s="5">
        <v>2.0689655172000001</v>
      </c>
      <c r="I111" s="5">
        <v>8.453125</v>
      </c>
      <c r="J111" s="5">
        <v>6.5050429046499998</v>
      </c>
      <c r="K111" s="5">
        <v>7.8412698412999999</v>
      </c>
      <c r="L111" s="5">
        <v>8.453125</v>
      </c>
      <c r="M111" s="5">
        <v>8.07177122495</v>
      </c>
      <c r="N111" s="48"/>
      <c r="O111" s="48"/>
      <c r="P111" s="5">
        <v>925.72341269809999</v>
      </c>
      <c r="Q111" s="5">
        <v>917.12203947329999</v>
      </c>
      <c r="R111" s="5">
        <v>921.71181660189995</v>
      </c>
      <c r="S111" s="27"/>
    </row>
    <row r="112" spans="1:19" x14ac:dyDescent="0.3">
      <c r="A112" s="122"/>
      <c r="B112" s="3" t="s">
        <v>12</v>
      </c>
      <c r="C112" s="4">
        <v>4</v>
      </c>
      <c r="D112" s="20">
        <v>18</v>
      </c>
      <c r="E112" s="5">
        <f t="shared" si="2"/>
        <v>4.5</v>
      </c>
      <c r="F112" s="6">
        <v>4</v>
      </c>
      <c r="G112" s="34">
        <v>7</v>
      </c>
      <c r="H112" s="5">
        <v>3.8888888889</v>
      </c>
      <c r="I112" s="5">
        <v>6.5370370370000002</v>
      </c>
      <c r="J112" s="5">
        <v>5.5495591161000002</v>
      </c>
      <c r="K112" s="5">
        <v>4.375</v>
      </c>
      <c r="L112" s="5">
        <v>5.9220779220999997</v>
      </c>
      <c r="M112" s="5">
        <v>5.4023915462499996</v>
      </c>
      <c r="N112" s="48"/>
      <c r="O112" s="48"/>
      <c r="P112" s="5">
        <v>966.15223214289995</v>
      </c>
      <c r="Q112" s="5">
        <v>949.01136363609999</v>
      </c>
      <c r="R112" s="5">
        <v>954.72601044712496</v>
      </c>
      <c r="S112" s="27"/>
    </row>
    <row r="113" spans="1:19" x14ac:dyDescent="0.3">
      <c r="A113" s="122"/>
      <c r="B113" s="3" t="s">
        <v>79</v>
      </c>
      <c r="C113" s="4">
        <v>2</v>
      </c>
      <c r="D113" s="20">
        <v>4</v>
      </c>
      <c r="E113" s="5">
        <f t="shared" si="2"/>
        <v>2</v>
      </c>
      <c r="F113" s="6">
        <v>1</v>
      </c>
      <c r="G113" s="34">
        <v>2</v>
      </c>
      <c r="H113" s="5">
        <v>5</v>
      </c>
      <c r="I113" s="5">
        <v>7.6969696970000001</v>
      </c>
      <c r="J113" s="5">
        <v>6.5226485226499999</v>
      </c>
      <c r="K113" s="48"/>
      <c r="L113" s="48"/>
      <c r="M113" s="48"/>
      <c r="N113" s="48"/>
      <c r="O113" s="48"/>
      <c r="P113" s="48"/>
      <c r="Q113" s="48"/>
      <c r="R113" s="48"/>
      <c r="S113" s="27"/>
    </row>
    <row r="114" spans="1:19" x14ac:dyDescent="0.3">
      <c r="A114" s="122" t="s">
        <v>38</v>
      </c>
      <c r="B114" s="3" t="s">
        <v>53</v>
      </c>
      <c r="C114" s="4">
        <v>4</v>
      </c>
      <c r="D114" s="20">
        <v>13</v>
      </c>
      <c r="E114" s="5">
        <f t="shared" si="2"/>
        <v>3.25</v>
      </c>
      <c r="F114" s="6">
        <v>3</v>
      </c>
      <c r="G114" s="34">
        <v>8</v>
      </c>
      <c r="H114" s="5">
        <v>4.875</v>
      </c>
      <c r="I114" s="5">
        <v>7.3333333332999997</v>
      </c>
      <c r="J114" s="5">
        <v>6.1020990353583331</v>
      </c>
      <c r="K114" s="5">
        <v>4.875</v>
      </c>
      <c r="L114" s="5">
        <v>6.5555555555999998</v>
      </c>
      <c r="M114" s="5">
        <v>5.8188431938666669</v>
      </c>
      <c r="N114" s="48"/>
      <c r="O114" s="48"/>
      <c r="P114" s="5">
        <v>960.921875</v>
      </c>
      <c r="Q114" s="5">
        <v>941.47555555509996</v>
      </c>
      <c r="R114" s="5">
        <v>949.77089676503329</v>
      </c>
      <c r="S114" s="27"/>
    </row>
    <row r="115" spans="1:19" x14ac:dyDescent="0.3">
      <c r="A115" s="122"/>
      <c r="B115" s="3" t="s">
        <v>54</v>
      </c>
      <c r="C115" s="4">
        <v>2</v>
      </c>
      <c r="D115" s="20">
        <v>4</v>
      </c>
      <c r="E115" s="5">
        <f t="shared" si="2"/>
        <v>2</v>
      </c>
      <c r="F115" s="6">
        <v>1</v>
      </c>
      <c r="G115" s="34">
        <v>1</v>
      </c>
      <c r="H115" s="5">
        <v>4.1500000000000004</v>
      </c>
      <c r="I115" s="5">
        <v>7.7571428570999998</v>
      </c>
      <c r="J115" s="5">
        <v>6.0733791208749999</v>
      </c>
      <c r="K115" s="48"/>
      <c r="L115" s="48"/>
      <c r="M115" s="48"/>
      <c r="N115" s="48"/>
      <c r="O115" s="48"/>
      <c r="P115" s="48"/>
      <c r="Q115" s="48"/>
      <c r="R115" s="48"/>
      <c r="S115" s="27"/>
    </row>
    <row r="116" spans="1:19" x14ac:dyDescent="0.3">
      <c r="A116" s="122" t="s">
        <v>39</v>
      </c>
      <c r="B116" s="3" t="s">
        <v>80</v>
      </c>
      <c r="C116" s="4">
        <v>2</v>
      </c>
      <c r="D116" s="20">
        <v>3</v>
      </c>
      <c r="E116" s="5">
        <f t="shared" si="2"/>
        <v>1.5</v>
      </c>
      <c r="F116" s="6">
        <v>0</v>
      </c>
      <c r="G116" s="34">
        <v>1</v>
      </c>
      <c r="H116" s="5">
        <v>5</v>
      </c>
      <c r="I116" s="5">
        <v>7.5227272727000001</v>
      </c>
      <c r="J116" s="5">
        <v>6.3355327467999993</v>
      </c>
      <c r="K116" s="48" t="s">
        <v>94</v>
      </c>
      <c r="L116" s="48" t="s">
        <v>94</v>
      </c>
      <c r="M116" s="48" t="s">
        <v>94</v>
      </c>
      <c r="N116" s="48"/>
      <c r="O116" s="48"/>
      <c r="P116" s="48" t="s">
        <v>94</v>
      </c>
      <c r="Q116" s="48" t="s">
        <v>94</v>
      </c>
      <c r="R116" s="48" t="s">
        <v>94</v>
      </c>
      <c r="S116" s="27"/>
    </row>
    <row r="117" spans="1:19" x14ac:dyDescent="0.3">
      <c r="A117" s="122"/>
      <c r="B117" s="3" t="s">
        <v>55</v>
      </c>
      <c r="C117" s="4">
        <v>2</v>
      </c>
      <c r="D117" s="20">
        <v>12</v>
      </c>
      <c r="E117" s="5">
        <f t="shared" si="2"/>
        <v>6</v>
      </c>
      <c r="F117" s="6">
        <v>2</v>
      </c>
      <c r="G117" s="34">
        <v>0</v>
      </c>
      <c r="H117" s="5">
        <v>4.125</v>
      </c>
      <c r="I117" s="5">
        <v>7.3283582090000001</v>
      </c>
      <c r="J117" s="5">
        <v>5.9476070793000009</v>
      </c>
      <c r="K117" s="48"/>
      <c r="L117" s="48"/>
      <c r="M117" s="5">
        <v>4.3958333333499997</v>
      </c>
      <c r="N117" s="48"/>
      <c r="O117" s="48"/>
      <c r="P117" s="48"/>
      <c r="Q117" s="48"/>
      <c r="R117" s="5">
        <v>966.37239583314999</v>
      </c>
      <c r="S117" s="27"/>
    </row>
    <row r="118" spans="1:19" x14ac:dyDescent="0.3">
      <c r="A118" s="34" t="s">
        <v>41</v>
      </c>
      <c r="B118" s="3" t="s">
        <v>20</v>
      </c>
      <c r="C118" s="4">
        <v>2</v>
      </c>
      <c r="D118" s="20">
        <v>53</v>
      </c>
      <c r="E118" s="5">
        <f t="shared" si="2"/>
        <v>26.5</v>
      </c>
      <c r="F118" s="6">
        <v>2</v>
      </c>
      <c r="G118" s="34">
        <v>1</v>
      </c>
      <c r="H118" s="5">
        <v>1.3333333332999999</v>
      </c>
      <c r="I118" s="5">
        <v>6.4249999999999998</v>
      </c>
      <c r="J118" s="5">
        <v>2.0936286583105259</v>
      </c>
      <c r="K118" s="48"/>
      <c r="L118" s="48"/>
      <c r="M118" s="5">
        <v>1.734375</v>
      </c>
      <c r="N118" s="48"/>
      <c r="O118" s="48"/>
      <c r="P118" s="48"/>
      <c r="Q118" s="48"/>
      <c r="R118" s="5">
        <v>996.646484375</v>
      </c>
      <c r="S118" s="27"/>
    </row>
    <row r="119" spans="1:19" x14ac:dyDescent="0.3">
      <c r="A119" s="34" t="s">
        <v>42</v>
      </c>
      <c r="B119" s="3" t="s">
        <v>43</v>
      </c>
      <c r="C119" s="4">
        <v>6</v>
      </c>
      <c r="D119" s="20">
        <v>35</v>
      </c>
      <c r="E119" s="5">
        <f t="shared" si="2"/>
        <v>5.833333333333333</v>
      </c>
      <c r="F119" s="6">
        <v>6</v>
      </c>
      <c r="G119" s="34">
        <v>6</v>
      </c>
      <c r="H119" s="5">
        <v>3.4782608696000001</v>
      </c>
      <c r="I119" s="5">
        <v>8.9444444444000002</v>
      </c>
      <c r="J119" s="5">
        <v>5.9873767809866658</v>
      </c>
      <c r="K119" s="5">
        <v>5.3972602739999997</v>
      </c>
      <c r="L119" s="5">
        <v>5.8358208955000004</v>
      </c>
      <c r="M119" s="5">
        <v>5.6573190770999995</v>
      </c>
      <c r="N119" s="5">
        <v>5.8181818182000002</v>
      </c>
      <c r="O119" s="5">
        <v>5.8358208955000004</v>
      </c>
      <c r="P119" s="5">
        <v>953.98116438329998</v>
      </c>
      <c r="Q119" s="5">
        <v>949.99253731370004</v>
      </c>
      <c r="R119" s="5">
        <v>951.80132883133331</v>
      </c>
      <c r="S119" s="27"/>
    </row>
    <row r="120" spans="1:19" x14ac:dyDescent="0.3">
      <c r="A120" s="92" t="s">
        <v>21</v>
      </c>
      <c r="B120" s="93"/>
      <c r="C120" s="7">
        <f>SUM(C100:C119)</f>
        <v>58</v>
      </c>
      <c r="D120" s="7">
        <f>SUM(D100:D119)</f>
        <v>259</v>
      </c>
      <c r="E120" s="8">
        <f>D120/C120</f>
        <v>4.4655172413793105</v>
      </c>
      <c r="F120" s="7">
        <f>SUM(F100:F119)</f>
        <v>46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47"/>
      <c r="R120" s="7"/>
      <c r="S120" s="28"/>
    </row>
    <row r="122" spans="1:19" x14ac:dyDescent="0.3">
      <c r="A122" s="87" t="s">
        <v>0</v>
      </c>
      <c r="B122" s="95" t="s">
        <v>1</v>
      </c>
      <c r="C122" s="51" t="s">
        <v>24</v>
      </c>
      <c r="D122" s="52"/>
      <c r="E122" s="52"/>
      <c r="F122" s="52"/>
      <c r="G122" s="53"/>
      <c r="H122" s="67" t="s">
        <v>100</v>
      </c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3" t="s">
        <v>75</v>
      </c>
    </row>
    <row r="123" spans="1:19" x14ac:dyDescent="0.3">
      <c r="A123" s="88"/>
      <c r="B123" s="96"/>
      <c r="C123" s="54"/>
      <c r="D123" s="55"/>
      <c r="E123" s="55"/>
      <c r="F123" s="55"/>
      <c r="G123" s="56"/>
      <c r="H123" s="83" t="s">
        <v>76</v>
      </c>
      <c r="I123" s="84"/>
      <c r="J123" s="85"/>
      <c r="K123" s="77" t="s">
        <v>77</v>
      </c>
      <c r="L123" s="78"/>
      <c r="M123" s="78"/>
      <c r="N123" s="78"/>
      <c r="O123" s="78"/>
      <c r="P123" s="78"/>
      <c r="Q123" s="78"/>
      <c r="R123" s="78"/>
      <c r="S123" s="63"/>
    </row>
    <row r="124" spans="1:19" ht="16.5" customHeight="1" x14ac:dyDescent="0.3">
      <c r="A124" s="88"/>
      <c r="B124" s="96"/>
      <c r="C124" s="70" t="s">
        <v>3</v>
      </c>
      <c r="D124" s="71"/>
      <c r="E124" s="72"/>
      <c r="F124" s="73" t="s">
        <v>4</v>
      </c>
      <c r="G124" s="75" t="s">
        <v>93</v>
      </c>
      <c r="H124" s="86" t="s">
        <v>66</v>
      </c>
      <c r="I124" s="86"/>
      <c r="J124" s="86"/>
      <c r="K124" s="82" t="s">
        <v>66</v>
      </c>
      <c r="L124" s="82"/>
      <c r="M124" s="82"/>
      <c r="N124" s="82"/>
      <c r="O124" s="82"/>
      <c r="P124" s="82" t="s">
        <v>65</v>
      </c>
      <c r="Q124" s="82"/>
      <c r="R124" s="82"/>
      <c r="S124" s="63"/>
    </row>
    <row r="125" spans="1:19" x14ac:dyDescent="0.3">
      <c r="A125" s="89"/>
      <c r="B125" s="107"/>
      <c r="C125" s="1" t="s">
        <v>5</v>
      </c>
      <c r="D125" s="1" t="s">
        <v>6</v>
      </c>
      <c r="E125" s="2" t="s">
        <v>7</v>
      </c>
      <c r="F125" s="74"/>
      <c r="G125" s="76"/>
      <c r="H125" s="22" t="s">
        <v>67</v>
      </c>
      <c r="I125" s="22" t="s">
        <v>64</v>
      </c>
      <c r="J125" s="22" t="s">
        <v>68</v>
      </c>
      <c r="K125" s="50" t="s">
        <v>67</v>
      </c>
      <c r="L125" s="50" t="s">
        <v>64</v>
      </c>
      <c r="M125" s="50" t="s">
        <v>68</v>
      </c>
      <c r="N125" s="50" t="s">
        <v>69</v>
      </c>
      <c r="O125" s="50" t="s">
        <v>70</v>
      </c>
      <c r="P125" s="50" t="s">
        <v>62</v>
      </c>
      <c r="Q125" s="50" t="s">
        <v>64</v>
      </c>
      <c r="R125" s="50" t="s">
        <v>63</v>
      </c>
      <c r="S125" s="63"/>
    </row>
    <row r="126" spans="1:19" x14ac:dyDescent="0.3">
      <c r="A126" s="20" t="s">
        <v>32</v>
      </c>
      <c r="B126" s="3" t="s">
        <v>11</v>
      </c>
      <c r="C126" s="20">
        <v>2</v>
      </c>
      <c r="D126" s="20">
        <v>26</v>
      </c>
      <c r="E126" s="5">
        <f>D126/C126</f>
        <v>13</v>
      </c>
      <c r="F126" s="6">
        <v>2</v>
      </c>
      <c r="G126" s="20">
        <v>1</v>
      </c>
      <c r="H126" s="5">
        <v>2.3333333333000001</v>
      </c>
      <c r="I126" s="5">
        <v>5.9615384615</v>
      </c>
      <c r="J126" s="5">
        <v>4.403531933779167</v>
      </c>
      <c r="K126" s="48"/>
      <c r="L126" s="48"/>
      <c r="M126" s="5">
        <v>3.2361111111</v>
      </c>
      <c r="N126" s="49"/>
      <c r="O126" s="49"/>
      <c r="P126" s="48"/>
      <c r="Q126" s="48"/>
      <c r="R126" s="5">
        <v>979.56423611125001</v>
      </c>
      <c r="S126" s="27"/>
    </row>
    <row r="127" spans="1:19" x14ac:dyDescent="0.3">
      <c r="A127" s="34" t="s">
        <v>41</v>
      </c>
      <c r="B127" s="3" t="s">
        <v>20</v>
      </c>
      <c r="C127" s="20">
        <v>2</v>
      </c>
      <c r="D127" s="20">
        <v>36</v>
      </c>
      <c r="E127" s="5">
        <f>D127/C127</f>
        <v>18</v>
      </c>
      <c r="F127" s="6">
        <v>1</v>
      </c>
      <c r="G127" s="20">
        <v>1</v>
      </c>
      <c r="H127" s="5">
        <v>1.45</v>
      </c>
      <c r="I127" s="5">
        <v>8.4303797467999999</v>
      </c>
      <c r="J127" s="5">
        <v>3.4671391056703702</v>
      </c>
      <c r="K127" s="48"/>
      <c r="L127" s="48"/>
      <c r="M127" s="48"/>
      <c r="N127" s="49"/>
      <c r="O127" s="49"/>
      <c r="P127" s="48"/>
      <c r="Q127" s="48"/>
      <c r="R127" s="48"/>
      <c r="S127" s="27"/>
    </row>
    <row r="128" spans="1:19" x14ac:dyDescent="0.3">
      <c r="A128" s="92" t="s">
        <v>21</v>
      </c>
      <c r="B128" s="93"/>
      <c r="C128" s="7">
        <f>SUM(C126:C127)</f>
        <v>4</v>
      </c>
      <c r="D128" s="7">
        <f>SUM(D126:D127)</f>
        <v>62</v>
      </c>
      <c r="E128" s="8">
        <f>D128/C128</f>
        <v>15.5</v>
      </c>
      <c r="F128" s="45">
        <f>SUM(F126:F127)</f>
        <v>3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47"/>
      <c r="R128" s="7"/>
      <c r="S128" s="28"/>
    </row>
    <row r="130" spans="1:19" x14ac:dyDescent="0.3">
      <c r="A130" s="87" t="s">
        <v>0</v>
      </c>
      <c r="B130" s="95" t="s">
        <v>1</v>
      </c>
      <c r="C130" s="51" t="s">
        <v>73</v>
      </c>
      <c r="D130" s="52"/>
      <c r="E130" s="52"/>
      <c r="F130" s="52"/>
      <c r="G130" s="53"/>
      <c r="H130" s="67" t="s">
        <v>100</v>
      </c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3" t="s">
        <v>75</v>
      </c>
    </row>
    <row r="131" spans="1:19" x14ac:dyDescent="0.3">
      <c r="A131" s="88"/>
      <c r="B131" s="96"/>
      <c r="C131" s="54"/>
      <c r="D131" s="55"/>
      <c r="E131" s="55"/>
      <c r="F131" s="55"/>
      <c r="G131" s="56"/>
      <c r="H131" s="83" t="s">
        <v>76</v>
      </c>
      <c r="I131" s="84"/>
      <c r="J131" s="85"/>
      <c r="K131" s="77" t="s">
        <v>77</v>
      </c>
      <c r="L131" s="78"/>
      <c r="M131" s="78"/>
      <c r="N131" s="78"/>
      <c r="O131" s="78"/>
      <c r="P131" s="78"/>
      <c r="Q131" s="78"/>
      <c r="R131" s="78"/>
      <c r="S131" s="63"/>
    </row>
    <row r="132" spans="1:19" ht="16.5" customHeight="1" x14ac:dyDescent="0.3">
      <c r="A132" s="88"/>
      <c r="B132" s="96"/>
      <c r="C132" s="70" t="s">
        <v>3</v>
      </c>
      <c r="D132" s="71"/>
      <c r="E132" s="72"/>
      <c r="F132" s="73" t="s">
        <v>4</v>
      </c>
      <c r="G132" s="75" t="s">
        <v>93</v>
      </c>
      <c r="H132" s="86" t="s">
        <v>66</v>
      </c>
      <c r="I132" s="86"/>
      <c r="J132" s="86"/>
      <c r="K132" s="82" t="s">
        <v>66</v>
      </c>
      <c r="L132" s="82"/>
      <c r="M132" s="82"/>
      <c r="N132" s="82"/>
      <c r="O132" s="82"/>
      <c r="P132" s="82" t="s">
        <v>65</v>
      </c>
      <c r="Q132" s="82"/>
      <c r="R132" s="82"/>
      <c r="S132" s="63"/>
    </row>
    <row r="133" spans="1:19" x14ac:dyDescent="0.3">
      <c r="A133" s="89"/>
      <c r="B133" s="107"/>
      <c r="C133" s="1" t="s">
        <v>5</v>
      </c>
      <c r="D133" s="1" t="s">
        <v>6</v>
      </c>
      <c r="E133" s="2" t="s">
        <v>7</v>
      </c>
      <c r="F133" s="74"/>
      <c r="G133" s="76"/>
      <c r="H133" s="22" t="s">
        <v>67</v>
      </c>
      <c r="I133" s="22" t="s">
        <v>64</v>
      </c>
      <c r="J133" s="22" t="s">
        <v>68</v>
      </c>
      <c r="K133" s="50" t="s">
        <v>67</v>
      </c>
      <c r="L133" s="50" t="s">
        <v>64</v>
      </c>
      <c r="M133" s="50" t="s">
        <v>68</v>
      </c>
      <c r="N133" s="50" t="s">
        <v>69</v>
      </c>
      <c r="O133" s="50" t="s">
        <v>70</v>
      </c>
      <c r="P133" s="50" t="s">
        <v>62</v>
      </c>
      <c r="Q133" s="50" t="s">
        <v>64</v>
      </c>
      <c r="R133" s="50" t="s">
        <v>63</v>
      </c>
      <c r="S133" s="63"/>
    </row>
    <row r="134" spans="1:19" x14ac:dyDescent="0.3">
      <c r="A134" s="20" t="s">
        <v>41</v>
      </c>
      <c r="B134" s="3" t="s">
        <v>20</v>
      </c>
      <c r="C134" s="20">
        <v>2</v>
      </c>
      <c r="D134" s="20">
        <v>37</v>
      </c>
      <c r="E134" s="5">
        <f>D134/C134</f>
        <v>18.5</v>
      </c>
      <c r="F134" s="6">
        <v>1</v>
      </c>
      <c r="G134" s="20">
        <v>0</v>
      </c>
      <c r="H134" s="5">
        <v>1.4375</v>
      </c>
      <c r="I134" s="5">
        <v>6.75</v>
      </c>
      <c r="J134" s="5">
        <v>2.6051791378540541</v>
      </c>
      <c r="K134" s="48"/>
      <c r="L134" s="48"/>
      <c r="M134" s="48"/>
      <c r="N134" s="48"/>
      <c r="O134" s="48"/>
      <c r="P134" s="48"/>
      <c r="Q134" s="48"/>
      <c r="R134" s="48"/>
      <c r="S134" s="27"/>
    </row>
    <row r="135" spans="1:19" x14ac:dyDescent="0.3">
      <c r="A135" s="92" t="s">
        <v>21</v>
      </c>
      <c r="B135" s="93"/>
      <c r="C135" s="7">
        <f>SUM(C134:C134)</f>
        <v>2</v>
      </c>
      <c r="D135" s="7">
        <f>SUM(D134:D134)</f>
        <v>37</v>
      </c>
      <c r="E135" s="8">
        <f>D135/C135</f>
        <v>18.5</v>
      </c>
      <c r="F135" s="45">
        <f>SUM(F134)</f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47"/>
      <c r="R135" s="7"/>
      <c r="S135" s="28"/>
    </row>
    <row r="137" spans="1:19" x14ac:dyDescent="0.3">
      <c r="A137" s="87" t="s">
        <v>0</v>
      </c>
      <c r="B137" s="95" t="s">
        <v>1</v>
      </c>
      <c r="C137" s="51" t="s">
        <v>26</v>
      </c>
      <c r="D137" s="52"/>
      <c r="E137" s="52"/>
      <c r="F137" s="52"/>
      <c r="G137" s="53"/>
      <c r="H137" s="67" t="s">
        <v>101</v>
      </c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3" t="s">
        <v>75</v>
      </c>
    </row>
    <row r="138" spans="1:19" x14ac:dyDescent="0.3">
      <c r="A138" s="88"/>
      <c r="B138" s="96"/>
      <c r="C138" s="54"/>
      <c r="D138" s="55"/>
      <c r="E138" s="55"/>
      <c r="F138" s="55"/>
      <c r="G138" s="56"/>
      <c r="H138" s="83" t="s">
        <v>76</v>
      </c>
      <c r="I138" s="84"/>
      <c r="J138" s="85"/>
      <c r="K138" s="77" t="s">
        <v>77</v>
      </c>
      <c r="L138" s="78"/>
      <c r="M138" s="78"/>
      <c r="N138" s="78"/>
      <c r="O138" s="78"/>
      <c r="P138" s="78"/>
      <c r="Q138" s="78"/>
      <c r="R138" s="78"/>
      <c r="S138" s="63"/>
    </row>
    <row r="139" spans="1:19" ht="16.5" customHeight="1" x14ac:dyDescent="0.3">
      <c r="A139" s="88"/>
      <c r="B139" s="96"/>
      <c r="C139" s="70" t="s">
        <v>3</v>
      </c>
      <c r="D139" s="71"/>
      <c r="E139" s="72"/>
      <c r="F139" s="73" t="s">
        <v>4</v>
      </c>
      <c r="G139" s="75" t="s">
        <v>93</v>
      </c>
      <c r="H139" s="86" t="s">
        <v>66</v>
      </c>
      <c r="I139" s="86"/>
      <c r="J139" s="86"/>
      <c r="K139" s="82" t="s">
        <v>66</v>
      </c>
      <c r="L139" s="82"/>
      <c r="M139" s="82"/>
      <c r="N139" s="82"/>
      <c r="O139" s="82"/>
      <c r="P139" s="82" t="s">
        <v>65</v>
      </c>
      <c r="Q139" s="82"/>
      <c r="R139" s="82"/>
      <c r="S139" s="63"/>
    </row>
    <row r="140" spans="1:19" x14ac:dyDescent="0.3">
      <c r="A140" s="88"/>
      <c r="B140" s="96"/>
      <c r="C140" s="16" t="s">
        <v>5</v>
      </c>
      <c r="D140" s="16" t="s">
        <v>6</v>
      </c>
      <c r="E140" s="17" t="s">
        <v>7</v>
      </c>
      <c r="F140" s="111"/>
      <c r="G140" s="76"/>
      <c r="H140" s="22" t="s">
        <v>67</v>
      </c>
      <c r="I140" s="22" t="s">
        <v>64</v>
      </c>
      <c r="J140" s="22" t="s">
        <v>68</v>
      </c>
      <c r="K140" s="50" t="s">
        <v>67</v>
      </c>
      <c r="L140" s="50" t="s">
        <v>64</v>
      </c>
      <c r="M140" s="50" t="s">
        <v>68</v>
      </c>
      <c r="N140" s="50" t="s">
        <v>69</v>
      </c>
      <c r="O140" s="50" t="s">
        <v>70</v>
      </c>
      <c r="P140" s="50" t="s">
        <v>62</v>
      </c>
      <c r="Q140" s="50" t="s">
        <v>64</v>
      </c>
      <c r="R140" s="50" t="s">
        <v>63</v>
      </c>
      <c r="S140" s="63"/>
    </row>
    <row r="141" spans="1:19" x14ac:dyDescent="0.3">
      <c r="A141" s="112" t="s">
        <v>29</v>
      </c>
      <c r="B141" s="3" t="s">
        <v>44</v>
      </c>
      <c r="C141" s="4">
        <v>7</v>
      </c>
      <c r="D141" s="4">
        <v>22</v>
      </c>
      <c r="E141" s="5">
        <f>D141/C141</f>
        <v>3.1428571428571428</v>
      </c>
      <c r="F141" s="6">
        <v>7</v>
      </c>
      <c r="G141" s="20">
        <v>14</v>
      </c>
      <c r="H141" s="5">
        <v>4.3466666667</v>
      </c>
      <c r="I141" s="5">
        <v>8.4285714285999997</v>
      </c>
      <c r="J141" s="5">
        <v>6.4472564754818169</v>
      </c>
      <c r="K141" s="5">
        <v>5.6901408451000002</v>
      </c>
      <c r="L141" s="5">
        <v>8.4285714285999997</v>
      </c>
      <c r="M141" s="5">
        <v>7.0940084558714274</v>
      </c>
      <c r="N141" s="5">
        <v>7.7159090909000003</v>
      </c>
      <c r="O141" s="5">
        <v>8.4285714285999997</v>
      </c>
      <c r="P141" s="5">
        <v>890</v>
      </c>
      <c r="Q141" s="5">
        <v>390</v>
      </c>
      <c r="R141" s="5">
        <v>608.57142857142856</v>
      </c>
      <c r="S141" s="27"/>
    </row>
    <row r="142" spans="1:19" x14ac:dyDescent="0.3">
      <c r="A142" s="113"/>
      <c r="B142" s="15" t="s">
        <v>61</v>
      </c>
      <c r="C142" s="4">
        <v>11</v>
      </c>
      <c r="D142" s="20">
        <v>33</v>
      </c>
      <c r="E142" s="5">
        <f t="shared" ref="E142:E175" si="3">D142/C142</f>
        <v>3</v>
      </c>
      <c r="F142" s="6">
        <v>11</v>
      </c>
      <c r="G142" s="34">
        <v>15</v>
      </c>
      <c r="H142" s="5">
        <v>3.7647058823999999</v>
      </c>
      <c r="I142" s="5">
        <v>7.8412698412999999</v>
      </c>
      <c r="J142" s="5">
        <v>5.9848923572125008</v>
      </c>
      <c r="K142" s="5">
        <v>4.1898734177000003</v>
      </c>
      <c r="L142" s="5">
        <v>7.0476190475999996</v>
      </c>
      <c r="M142" s="5">
        <v>6.0352105173727271</v>
      </c>
      <c r="N142" s="5">
        <v>6.3333333332999997</v>
      </c>
      <c r="O142" s="5">
        <v>6.9901960784000003</v>
      </c>
      <c r="P142" s="5">
        <v>970</v>
      </c>
      <c r="Q142" s="5">
        <v>580</v>
      </c>
      <c r="R142" s="5">
        <v>800</v>
      </c>
      <c r="S142" s="27"/>
    </row>
    <row r="143" spans="1:19" x14ac:dyDescent="0.3">
      <c r="A143" s="114"/>
      <c r="B143" s="3" t="s">
        <v>45</v>
      </c>
      <c r="C143" s="4">
        <v>17</v>
      </c>
      <c r="D143" s="20">
        <v>41</v>
      </c>
      <c r="E143" s="5">
        <f t="shared" si="3"/>
        <v>2.4117647058823528</v>
      </c>
      <c r="F143" s="6">
        <v>14</v>
      </c>
      <c r="G143" s="34">
        <v>23</v>
      </c>
      <c r="H143" s="5">
        <v>2.7</v>
      </c>
      <c r="I143" s="5">
        <v>8.0952380951999992</v>
      </c>
      <c r="J143" s="5">
        <v>6.1829003030641019</v>
      </c>
      <c r="K143" s="5">
        <v>4.05</v>
      </c>
      <c r="L143" s="5">
        <v>8.0952380951999992</v>
      </c>
      <c r="M143" s="5">
        <v>6.4041311452214282</v>
      </c>
      <c r="N143" s="5">
        <v>6.7808219178</v>
      </c>
      <c r="O143" s="5">
        <v>7.5789473683999997</v>
      </c>
      <c r="P143" s="5">
        <v>900</v>
      </c>
      <c r="Q143" s="5">
        <v>140</v>
      </c>
      <c r="R143" s="5">
        <v>652.14285714285711</v>
      </c>
      <c r="S143" s="27"/>
    </row>
    <row r="144" spans="1:19" x14ac:dyDescent="0.3">
      <c r="A144" s="104" t="s">
        <v>30</v>
      </c>
      <c r="B144" s="3" t="s">
        <v>46</v>
      </c>
      <c r="C144" s="34">
        <v>9</v>
      </c>
      <c r="D144" s="34">
        <v>60</v>
      </c>
      <c r="E144" s="5">
        <f t="shared" si="3"/>
        <v>6.666666666666667</v>
      </c>
      <c r="F144" s="6">
        <v>9</v>
      </c>
      <c r="G144" s="34">
        <v>11</v>
      </c>
      <c r="H144" s="5">
        <v>3.4482758621</v>
      </c>
      <c r="I144" s="5">
        <v>7.6455696202999999</v>
      </c>
      <c r="J144" s="5">
        <v>5.7514037745355928</v>
      </c>
      <c r="K144" s="5">
        <v>4.7701149425000002</v>
      </c>
      <c r="L144" s="5">
        <v>6.3037974684</v>
      </c>
      <c r="M144" s="5">
        <v>5.6021694520222223</v>
      </c>
      <c r="N144" s="5">
        <v>5.8048780488</v>
      </c>
      <c r="O144" s="5">
        <v>6.3037974684</v>
      </c>
      <c r="P144" s="5">
        <v>900</v>
      </c>
      <c r="Q144" s="5">
        <v>760</v>
      </c>
      <c r="R144" s="5">
        <v>813.33333333333337</v>
      </c>
      <c r="S144" s="27"/>
    </row>
    <row r="145" spans="1:19" x14ac:dyDescent="0.3">
      <c r="A145" s="105"/>
      <c r="B145" s="3" t="s">
        <v>47</v>
      </c>
      <c r="C145" s="34">
        <v>9</v>
      </c>
      <c r="D145" s="34">
        <v>27</v>
      </c>
      <c r="E145" s="5">
        <f t="shared" si="3"/>
        <v>3</v>
      </c>
      <c r="F145" s="6">
        <v>8</v>
      </c>
      <c r="G145" s="34">
        <v>18</v>
      </c>
      <c r="H145" s="5">
        <v>4.3170731706999996</v>
      </c>
      <c r="I145" s="5">
        <v>8.2249999999999996</v>
      </c>
      <c r="J145" s="5">
        <v>6.0063849093999995</v>
      </c>
      <c r="K145" s="5">
        <v>4.8214285714000003</v>
      </c>
      <c r="L145" s="5">
        <v>8.2249999999999996</v>
      </c>
      <c r="M145" s="5">
        <v>6.3142111411749999</v>
      </c>
      <c r="N145" s="5">
        <v>6.4749999999999996</v>
      </c>
      <c r="O145" s="5">
        <v>8.2249999999999996</v>
      </c>
      <c r="P145" s="5">
        <v>900</v>
      </c>
      <c r="Q145" s="5">
        <v>400</v>
      </c>
      <c r="R145" s="5">
        <v>653.75</v>
      </c>
      <c r="S145" s="27"/>
    </row>
    <row r="146" spans="1:19" x14ac:dyDescent="0.3">
      <c r="A146" s="105"/>
      <c r="B146" s="3" t="s">
        <v>9</v>
      </c>
      <c r="C146" s="34">
        <v>5</v>
      </c>
      <c r="D146" s="34">
        <v>32</v>
      </c>
      <c r="E146" s="5">
        <f t="shared" si="3"/>
        <v>6.4</v>
      </c>
      <c r="F146" s="6">
        <v>5</v>
      </c>
      <c r="G146" s="34">
        <v>1</v>
      </c>
      <c r="H146" s="5">
        <v>1.6</v>
      </c>
      <c r="I146" s="5">
        <v>6.8421052631999997</v>
      </c>
      <c r="J146" s="5">
        <v>4.129471178565626</v>
      </c>
      <c r="K146" s="5">
        <v>3.7916666666999999</v>
      </c>
      <c r="L146" s="5">
        <v>4.5263157894999999</v>
      </c>
      <c r="M146" s="5">
        <v>4.0811031225400001</v>
      </c>
      <c r="N146" s="5">
        <v>4.1794871794999997</v>
      </c>
      <c r="O146" s="5">
        <v>4.5263157894999999</v>
      </c>
      <c r="P146" s="5">
        <v>890</v>
      </c>
      <c r="Q146" s="5">
        <v>730</v>
      </c>
      <c r="R146" s="5">
        <v>808</v>
      </c>
      <c r="S146" s="27"/>
    </row>
    <row r="147" spans="1:19" x14ac:dyDescent="0.3">
      <c r="A147" s="105"/>
      <c r="B147" s="3" t="s">
        <v>10</v>
      </c>
      <c r="C147" s="34">
        <v>4</v>
      </c>
      <c r="D147" s="34">
        <v>50</v>
      </c>
      <c r="E147" s="5">
        <f t="shared" si="3"/>
        <v>12.5</v>
      </c>
      <c r="F147" s="6">
        <v>4</v>
      </c>
      <c r="G147" s="34">
        <v>2</v>
      </c>
      <c r="H147" s="5">
        <v>4</v>
      </c>
      <c r="I147" s="5">
        <v>7.3684210525999996</v>
      </c>
      <c r="J147" s="5">
        <v>5.774561596389999</v>
      </c>
      <c r="K147" s="5">
        <v>4.8292682927000001</v>
      </c>
      <c r="L147" s="5">
        <v>5.3611111110999996</v>
      </c>
      <c r="M147" s="5">
        <v>5.0751797275000001</v>
      </c>
      <c r="N147" s="48"/>
      <c r="O147" s="48"/>
      <c r="P147" s="5">
        <v>920</v>
      </c>
      <c r="Q147" s="5">
        <v>810</v>
      </c>
      <c r="R147" s="5">
        <v>860</v>
      </c>
      <c r="S147" s="27"/>
    </row>
    <row r="148" spans="1:19" x14ac:dyDescent="0.3">
      <c r="A148" s="106"/>
      <c r="B148" s="3" t="s">
        <v>31</v>
      </c>
      <c r="C148" s="34">
        <v>4</v>
      </c>
      <c r="D148" s="34">
        <v>15</v>
      </c>
      <c r="E148" s="5">
        <f t="shared" si="3"/>
        <v>3.75</v>
      </c>
      <c r="F148" s="6">
        <v>4</v>
      </c>
      <c r="G148" s="34">
        <v>4</v>
      </c>
      <c r="H148" s="5">
        <v>4.7</v>
      </c>
      <c r="I148" s="5">
        <v>7.5057471264000002</v>
      </c>
      <c r="J148" s="5">
        <v>6.305703276828571</v>
      </c>
      <c r="K148" s="5">
        <v>5.1463414633999998</v>
      </c>
      <c r="L148" s="5">
        <v>6.8918918919000003</v>
      </c>
      <c r="M148" s="5">
        <v>5.9736976830749997</v>
      </c>
      <c r="N148" s="48"/>
      <c r="O148" s="48"/>
      <c r="P148" s="5">
        <v>930</v>
      </c>
      <c r="Q148" s="5">
        <v>670</v>
      </c>
      <c r="R148" s="5">
        <v>792.5</v>
      </c>
      <c r="S148" s="27"/>
    </row>
    <row r="149" spans="1:19" x14ac:dyDescent="0.3">
      <c r="A149" s="104" t="s">
        <v>32</v>
      </c>
      <c r="B149" s="3" t="s">
        <v>48</v>
      </c>
      <c r="C149" s="34">
        <v>9</v>
      </c>
      <c r="D149" s="34">
        <v>28</v>
      </c>
      <c r="E149" s="5">
        <f t="shared" si="3"/>
        <v>3.1111111111111112</v>
      </c>
      <c r="F149" s="6">
        <v>9</v>
      </c>
      <c r="G149" s="34">
        <v>11</v>
      </c>
      <c r="H149" s="5">
        <v>2.375</v>
      </c>
      <c r="I149" s="5">
        <v>7.88</v>
      </c>
      <c r="J149" s="5">
        <v>5.6050451395000014</v>
      </c>
      <c r="K149" s="5">
        <v>2.375</v>
      </c>
      <c r="L149" s="5">
        <v>7.88</v>
      </c>
      <c r="M149" s="5">
        <v>5.2129361635222224</v>
      </c>
      <c r="N149" s="5">
        <v>6.3943661972000001</v>
      </c>
      <c r="O149" s="5">
        <v>7.88</v>
      </c>
      <c r="P149" s="5">
        <v>900</v>
      </c>
      <c r="Q149" s="5">
        <v>610</v>
      </c>
      <c r="R149" s="5">
        <v>747.77777777777783</v>
      </c>
      <c r="S149" s="27"/>
    </row>
    <row r="150" spans="1:19" x14ac:dyDescent="0.3">
      <c r="A150" s="105"/>
      <c r="B150" s="3" t="s">
        <v>49</v>
      </c>
      <c r="C150" s="34">
        <v>8</v>
      </c>
      <c r="D150" s="34">
        <v>31</v>
      </c>
      <c r="E150" s="5">
        <f t="shared" si="3"/>
        <v>3.875</v>
      </c>
      <c r="F150" s="6">
        <v>4</v>
      </c>
      <c r="G150" s="34">
        <v>23</v>
      </c>
      <c r="H150" s="5">
        <v>2.1666666666999999</v>
      </c>
      <c r="I150" s="5">
        <v>7.6714285713999999</v>
      </c>
      <c r="J150" s="5">
        <v>5.339808293822581</v>
      </c>
      <c r="K150" s="5">
        <v>5.3333333332999997</v>
      </c>
      <c r="L150" s="5">
        <v>6.3815789474000004</v>
      </c>
      <c r="M150" s="5">
        <v>5.7620614034999997</v>
      </c>
      <c r="N150" s="48"/>
      <c r="O150" s="48"/>
      <c r="P150" s="5">
        <v>780</v>
      </c>
      <c r="Q150" s="5">
        <v>520</v>
      </c>
      <c r="R150" s="5">
        <v>672.5</v>
      </c>
      <c r="S150" s="27"/>
    </row>
    <row r="151" spans="1:19" x14ac:dyDescent="0.3">
      <c r="A151" s="105"/>
      <c r="B151" s="3" t="s">
        <v>86</v>
      </c>
      <c r="C151" s="34">
        <v>4</v>
      </c>
      <c r="D151" s="34">
        <v>25</v>
      </c>
      <c r="E151" s="5">
        <f t="shared" si="3"/>
        <v>6.25</v>
      </c>
      <c r="F151" s="6">
        <v>4</v>
      </c>
      <c r="G151" s="34">
        <v>5</v>
      </c>
      <c r="H151" s="5">
        <v>3.9722222222000001</v>
      </c>
      <c r="I151" s="5">
        <v>7.8088235293999997</v>
      </c>
      <c r="J151" s="5">
        <v>5.7290147101599995</v>
      </c>
      <c r="K151" s="5">
        <v>5.2575757575999997</v>
      </c>
      <c r="L151" s="5">
        <v>6.0410958904000003</v>
      </c>
      <c r="M151" s="5">
        <v>5.6205012453250003</v>
      </c>
      <c r="N151" s="48"/>
      <c r="O151" s="48"/>
      <c r="P151" s="5">
        <v>920</v>
      </c>
      <c r="Q151" s="5">
        <v>750</v>
      </c>
      <c r="R151" s="5">
        <v>862.5</v>
      </c>
      <c r="S151" s="27"/>
    </row>
    <row r="152" spans="1:19" x14ac:dyDescent="0.3">
      <c r="A152" s="106"/>
      <c r="B152" s="3" t="s">
        <v>11</v>
      </c>
      <c r="C152" s="34">
        <v>29</v>
      </c>
      <c r="D152" s="34">
        <v>362</v>
      </c>
      <c r="E152" s="5">
        <f t="shared" si="3"/>
        <v>12.482758620689655</v>
      </c>
      <c r="F152" s="6">
        <v>29</v>
      </c>
      <c r="G152" s="34">
        <v>23</v>
      </c>
      <c r="H152" s="5">
        <v>1.6333333333</v>
      </c>
      <c r="I152" s="5">
        <v>7.3928571428999996</v>
      </c>
      <c r="J152" s="5">
        <v>4.2899261459628155</v>
      </c>
      <c r="K152" s="5">
        <v>2.9130434783000001</v>
      </c>
      <c r="L152" s="5">
        <v>4.3513513514</v>
      </c>
      <c r="M152" s="5">
        <v>3.7370548003482758</v>
      </c>
      <c r="N152" s="5">
        <v>3.9047619048</v>
      </c>
      <c r="O152" s="5">
        <v>4.2666666666999999</v>
      </c>
      <c r="P152" s="5">
        <v>980</v>
      </c>
      <c r="Q152" s="5">
        <v>790</v>
      </c>
      <c r="R152" s="5">
        <v>850.68965517241384</v>
      </c>
      <c r="S152" s="27"/>
    </row>
    <row r="153" spans="1:19" x14ac:dyDescent="0.3">
      <c r="A153" s="104" t="s">
        <v>33</v>
      </c>
      <c r="B153" s="3" t="s">
        <v>34</v>
      </c>
      <c r="C153" s="34">
        <v>7</v>
      </c>
      <c r="D153" s="34">
        <v>15</v>
      </c>
      <c r="E153" s="5">
        <f t="shared" si="3"/>
        <v>2.1428571428571428</v>
      </c>
      <c r="F153" s="6">
        <v>6</v>
      </c>
      <c r="G153" s="34">
        <v>8</v>
      </c>
      <c r="H153" s="5">
        <v>4.9615384615</v>
      </c>
      <c r="I153" s="5">
        <v>7.4487179486999997</v>
      </c>
      <c r="J153" s="5">
        <v>6.6501767713857136</v>
      </c>
      <c r="K153" s="5">
        <v>4.9615384615</v>
      </c>
      <c r="L153" s="5">
        <v>7.0933333333000004</v>
      </c>
      <c r="M153" s="5">
        <v>6.4641142432499992</v>
      </c>
      <c r="N153" s="5">
        <v>6.9428571429000003</v>
      </c>
      <c r="O153" s="5">
        <v>7.0933333333000004</v>
      </c>
      <c r="P153" s="5">
        <v>930</v>
      </c>
      <c r="Q153" s="5">
        <v>540</v>
      </c>
      <c r="R153" s="5">
        <v>726.66666666666663</v>
      </c>
      <c r="S153" s="27"/>
    </row>
    <row r="154" spans="1:19" x14ac:dyDescent="0.3">
      <c r="A154" s="105"/>
      <c r="B154" s="3" t="s">
        <v>50</v>
      </c>
      <c r="C154" s="34">
        <v>12</v>
      </c>
      <c r="D154" s="34">
        <v>32</v>
      </c>
      <c r="E154" s="5">
        <f t="shared" si="3"/>
        <v>2.6666666666666665</v>
      </c>
      <c r="F154" s="6">
        <v>11</v>
      </c>
      <c r="G154" s="34">
        <v>15</v>
      </c>
      <c r="H154" s="5">
        <v>2.9583333333000001</v>
      </c>
      <c r="I154" s="5">
        <v>8.3666666667000005</v>
      </c>
      <c r="J154" s="5">
        <v>6.3948362767580642</v>
      </c>
      <c r="K154" s="5">
        <v>5.5540540540999999</v>
      </c>
      <c r="L154" s="5">
        <v>7.26</v>
      </c>
      <c r="M154" s="5">
        <v>6.5050380624999979</v>
      </c>
      <c r="N154" s="5">
        <v>6.92</v>
      </c>
      <c r="O154" s="5">
        <v>7.1904761905000001</v>
      </c>
      <c r="P154" s="5">
        <v>750</v>
      </c>
      <c r="Q154" s="5">
        <v>460</v>
      </c>
      <c r="R154" s="5">
        <v>565.4545454545455</v>
      </c>
      <c r="S154" s="27"/>
    </row>
    <row r="155" spans="1:19" x14ac:dyDescent="0.3">
      <c r="A155" s="105"/>
      <c r="B155" s="3" t="s">
        <v>35</v>
      </c>
      <c r="C155" s="4">
        <v>14</v>
      </c>
      <c r="D155" s="20">
        <v>51</v>
      </c>
      <c r="E155" s="5">
        <f t="shared" si="3"/>
        <v>3.6428571428571428</v>
      </c>
      <c r="F155" s="6">
        <v>14</v>
      </c>
      <c r="G155" s="34">
        <v>9</v>
      </c>
      <c r="H155" s="5">
        <v>1.625</v>
      </c>
      <c r="I155" s="5">
        <v>7.2285714285999996</v>
      </c>
      <c r="J155" s="5">
        <v>5.5968400743764706</v>
      </c>
      <c r="K155" s="5">
        <v>4.3499999999999996</v>
      </c>
      <c r="L155" s="5">
        <v>6.0704225351999996</v>
      </c>
      <c r="M155" s="5">
        <v>5.5280556579642859</v>
      </c>
      <c r="N155" s="5">
        <v>5.8688524590000002</v>
      </c>
      <c r="O155" s="5">
        <v>5.9841269841000004</v>
      </c>
      <c r="P155" s="5">
        <v>890</v>
      </c>
      <c r="Q155" s="5">
        <v>740</v>
      </c>
      <c r="R155" s="5">
        <v>790</v>
      </c>
      <c r="S155" s="29"/>
    </row>
    <row r="156" spans="1:19" x14ac:dyDescent="0.3">
      <c r="A156" s="105"/>
      <c r="B156" s="3" t="s">
        <v>36</v>
      </c>
      <c r="C156" s="4">
        <v>4</v>
      </c>
      <c r="D156" s="20">
        <v>11</v>
      </c>
      <c r="E156" s="5">
        <f t="shared" si="3"/>
        <v>2.75</v>
      </c>
      <c r="F156" s="6">
        <v>2</v>
      </c>
      <c r="G156" s="34">
        <v>6</v>
      </c>
      <c r="H156" s="5">
        <v>2.9750000000000001</v>
      </c>
      <c r="I156" s="5">
        <v>7.2916666667000003</v>
      </c>
      <c r="J156" s="5">
        <v>5.4672498772555551</v>
      </c>
      <c r="K156" s="48"/>
      <c r="L156" s="48"/>
      <c r="M156" s="5">
        <v>5.3444444443999997</v>
      </c>
      <c r="N156" s="48"/>
      <c r="O156" s="48"/>
      <c r="P156" s="48"/>
      <c r="Q156" s="48"/>
      <c r="R156" s="5">
        <v>745</v>
      </c>
      <c r="S156" s="29"/>
    </row>
    <row r="157" spans="1:19" x14ac:dyDescent="0.3">
      <c r="A157" s="105"/>
      <c r="B157" s="3" t="s">
        <v>51</v>
      </c>
      <c r="C157" s="20">
        <v>18</v>
      </c>
      <c r="D157" s="20">
        <v>37</v>
      </c>
      <c r="E157" s="5">
        <f t="shared" si="3"/>
        <v>2.0555555555555554</v>
      </c>
      <c r="F157" s="6">
        <v>11</v>
      </c>
      <c r="G157" s="34">
        <v>19</v>
      </c>
      <c r="H157" s="5">
        <v>1.3333333332999999</v>
      </c>
      <c r="I157" s="5">
        <v>7.8589743590000003</v>
      </c>
      <c r="J157" s="5">
        <v>6.1126375765918928</v>
      </c>
      <c r="K157" s="5">
        <v>3.9285714286000002</v>
      </c>
      <c r="L157" s="5">
        <v>7.8589743590000003</v>
      </c>
      <c r="M157" s="5">
        <v>6.2565371306999991</v>
      </c>
      <c r="N157" s="5">
        <v>6.7901234568</v>
      </c>
      <c r="O157" s="5">
        <v>7.8148148148000001</v>
      </c>
      <c r="P157" s="5">
        <v>1000</v>
      </c>
      <c r="Q157" s="5">
        <v>300</v>
      </c>
      <c r="R157" s="5">
        <v>725.4545454545455</v>
      </c>
      <c r="S157" s="29"/>
    </row>
    <row r="158" spans="1:19" x14ac:dyDescent="0.3">
      <c r="A158" s="105"/>
      <c r="B158" s="3" t="s">
        <v>52</v>
      </c>
      <c r="C158" s="20">
        <v>16</v>
      </c>
      <c r="D158" s="20">
        <v>63</v>
      </c>
      <c r="E158" s="5">
        <f t="shared" si="3"/>
        <v>3.9375</v>
      </c>
      <c r="F158" s="6">
        <v>14</v>
      </c>
      <c r="G158" s="34">
        <v>30</v>
      </c>
      <c r="H158" s="5">
        <v>3.7250000000000001</v>
      </c>
      <c r="I158" s="5">
        <v>7.8815789474000004</v>
      </c>
      <c r="J158" s="5">
        <v>6.3156310020983621</v>
      </c>
      <c r="K158" s="5">
        <v>3.7250000000000001</v>
      </c>
      <c r="L158" s="5">
        <v>7.1641791044999996</v>
      </c>
      <c r="M158" s="5">
        <v>6.2084940032857139</v>
      </c>
      <c r="N158" s="5">
        <v>6.7272727272999999</v>
      </c>
      <c r="O158" s="5">
        <v>7.1621621621999996</v>
      </c>
      <c r="P158" s="5">
        <v>770</v>
      </c>
      <c r="Q158" s="5">
        <v>630</v>
      </c>
      <c r="R158" s="5">
        <v>688.57142857142856</v>
      </c>
      <c r="S158" s="29"/>
    </row>
    <row r="159" spans="1:19" x14ac:dyDescent="0.3">
      <c r="A159" s="105"/>
      <c r="B159" s="3" t="s">
        <v>60</v>
      </c>
      <c r="C159" s="4">
        <v>10</v>
      </c>
      <c r="D159" s="20">
        <v>26</v>
      </c>
      <c r="E159" s="5">
        <f t="shared" si="3"/>
        <v>2.6</v>
      </c>
      <c r="F159" s="6">
        <v>9</v>
      </c>
      <c r="G159" s="34">
        <v>16</v>
      </c>
      <c r="H159" s="5">
        <v>3</v>
      </c>
      <c r="I159" s="5">
        <v>7.7415730336999999</v>
      </c>
      <c r="J159" s="5">
        <v>5.9383207329999994</v>
      </c>
      <c r="K159" s="5">
        <v>4.3571428571000004</v>
      </c>
      <c r="L159" s="5">
        <v>7.7415730336999999</v>
      </c>
      <c r="M159" s="5">
        <v>6.1536607009222219</v>
      </c>
      <c r="N159" s="5">
        <v>7.1764705881999999</v>
      </c>
      <c r="O159" s="5">
        <v>7.7415730336999999</v>
      </c>
      <c r="P159" s="5">
        <v>890</v>
      </c>
      <c r="Q159" s="5">
        <v>490</v>
      </c>
      <c r="R159" s="5">
        <v>762.22222222222217</v>
      </c>
      <c r="S159" s="29"/>
    </row>
    <row r="160" spans="1:19" x14ac:dyDescent="0.3">
      <c r="A160" s="105"/>
      <c r="B160" s="3" t="s">
        <v>12</v>
      </c>
      <c r="C160" s="4">
        <v>8</v>
      </c>
      <c r="D160" s="20">
        <v>52</v>
      </c>
      <c r="E160" s="5">
        <f t="shared" si="3"/>
        <v>6.5</v>
      </c>
      <c r="F160" s="6">
        <v>8</v>
      </c>
      <c r="G160" s="34">
        <v>19</v>
      </c>
      <c r="H160" s="5">
        <v>3.1333333333</v>
      </c>
      <c r="I160" s="5">
        <v>8.2727272726999992</v>
      </c>
      <c r="J160" s="5">
        <v>5.1775655817059985</v>
      </c>
      <c r="K160" s="5">
        <v>4.4925373133999997</v>
      </c>
      <c r="L160" s="5">
        <v>6.12</v>
      </c>
      <c r="M160" s="5">
        <v>5.4322323323250004</v>
      </c>
      <c r="N160" s="5">
        <v>5.9444444444000002</v>
      </c>
      <c r="O160" s="5">
        <v>6.12</v>
      </c>
      <c r="P160" s="5">
        <v>790</v>
      </c>
      <c r="Q160" s="5">
        <v>640</v>
      </c>
      <c r="R160" s="5">
        <v>742.5</v>
      </c>
      <c r="S160" s="29"/>
    </row>
    <row r="161" spans="1:19" x14ac:dyDescent="0.3">
      <c r="A161" s="105"/>
      <c r="B161" s="3" t="s">
        <v>37</v>
      </c>
      <c r="C161" s="4">
        <v>4</v>
      </c>
      <c r="D161" s="20">
        <v>8</v>
      </c>
      <c r="E161" s="5">
        <f t="shared" si="3"/>
        <v>2</v>
      </c>
      <c r="F161" s="6">
        <v>3</v>
      </c>
      <c r="G161" s="34">
        <v>4</v>
      </c>
      <c r="H161" s="5">
        <v>6.0823529411999999</v>
      </c>
      <c r="I161" s="5">
        <v>8.0344827585999994</v>
      </c>
      <c r="J161" s="5">
        <v>7.0399570897874986</v>
      </c>
      <c r="K161" s="5">
        <v>6.4935064935</v>
      </c>
      <c r="L161" s="5">
        <v>8.0344827585999994</v>
      </c>
      <c r="M161" s="5">
        <v>7.3221151388333325</v>
      </c>
      <c r="N161" s="48"/>
      <c r="O161" s="48"/>
      <c r="P161" s="5">
        <v>850</v>
      </c>
      <c r="Q161" s="5">
        <v>630</v>
      </c>
      <c r="R161" s="5">
        <v>736.66666666666663</v>
      </c>
      <c r="S161" s="29"/>
    </row>
    <row r="162" spans="1:19" x14ac:dyDescent="0.3">
      <c r="A162" s="106"/>
      <c r="B162" s="3" t="s">
        <v>79</v>
      </c>
      <c r="C162" s="4">
        <v>9</v>
      </c>
      <c r="D162" s="20">
        <v>8</v>
      </c>
      <c r="E162" s="5">
        <f t="shared" si="3"/>
        <v>0.88888888888888884</v>
      </c>
      <c r="F162" s="6">
        <v>4</v>
      </c>
      <c r="G162" s="34">
        <v>0</v>
      </c>
      <c r="H162" s="5">
        <v>5.6060606060999998</v>
      </c>
      <c r="I162" s="5">
        <v>7.9384615385000004</v>
      </c>
      <c r="J162" s="5">
        <v>6.674895581575</v>
      </c>
      <c r="K162" s="5">
        <v>5.6530612245</v>
      </c>
      <c r="L162" s="5">
        <v>7.6805555555999998</v>
      </c>
      <c r="M162" s="5">
        <v>6.4909594775750001</v>
      </c>
      <c r="N162" s="48"/>
      <c r="O162" s="48"/>
      <c r="P162" s="5">
        <v>870</v>
      </c>
      <c r="Q162" s="5">
        <v>800</v>
      </c>
      <c r="R162" s="5">
        <v>845</v>
      </c>
      <c r="S162" s="29"/>
    </row>
    <row r="163" spans="1:19" x14ac:dyDescent="0.3">
      <c r="A163" s="104" t="s">
        <v>38</v>
      </c>
      <c r="B163" s="3" t="s">
        <v>53</v>
      </c>
      <c r="C163" s="4">
        <v>18</v>
      </c>
      <c r="D163" s="20">
        <v>55</v>
      </c>
      <c r="E163" s="5">
        <f t="shared" si="3"/>
        <v>3.0555555555555554</v>
      </c>
      <c r="F163" s="6">
        <v>17</v>
      </c>
      <c r="G163" s="34">
        <v>27</v>
      </c>
      <c r="H163" s="5">
        <v>4.6097560976</v>
      </c>
      <c r="I163" s="5">
        <v>8.7468354430000002</v>
      </c>
      <c r="J163" s="5">
        <v>6.4097212545314806</v>
      </c>
      <c r="K163" s="5">
        <v>4.734375</v>
      </c>
      <c r="L163" s="5">
        <v>7.3116883117000002</v>
      </c>
      <c r="M163" s="5">
        <v>6.3753366775235287</v>
      </c>
      <c r="N163" s="5">
        <v>7.0645161290000003</v>
      </c>
      <c r="O163" s="5">
        <v>7.2857142857000001</v>
      </c>
      <c r="P163" s="5">
        <v>950</v>
      </c>
      <c r="Q163" s="5">
        <v>540</v>
      </c>
      <c r="R163" s="5">
        <v>730.58823529411768</v>
      </c>
      <c r="S163" s="29"/>
    </row>
    <row r="164" spans="1:19" x14ac:dyDescent="0.3">
      <c r="A164" s="106"/>
      <c r="B164" s="3" t="s">
        <v>54</v>
      </c>
      <c r="C164" s="4">
        <v>8</v>
      </c>
      <c r="D164" s="20">
        <v>20</v>
      </c>
      <c r="E164" s="5">
        <f t="shared" si="3"/>
        <v>2.5</v>
      </c>
      <c r="F164" s="6">
        <v>7</v>
      </c>
      <c r="G164" s="34">
        <v>12</v>
      </c>
      <c r="H164" s="5">
        <v>3.1034482758999999</v>
      </c>
      <c r="I164" s="5">
        <v>7.9892473117999998</v>
      </c>
      <c r="J164" s="5">
        <v>6.3748340836894748</v>
      </c>
      <c r="K164" s="5">
        <v>5.9104477612000004</v>
      </c>
      <c r="L164" s="5">
        <v>7.9892473117999998</v>
      </c>
      <c r="M164" s="5">
        <v>6.7819182635333322</v>
      </c>
      <c r="N164" s="5">
        <v>7.7916666667000003</v>
      </c>
      <c r="O164" s="5">
        <v>7.9892473117999998</v>
      </c>
      <c r="P164" s="5">
        <v>800</v>
      </c>
      <c r="Q164" s="5">
        <v>350</v>
      </c>
      <c r="R164" s="5">
        <v>565.71428571428567</v>
      </c>
      <c r="S164" s="29"/>
    </row>
    <row r="165" spans="1:19" x14ac:dyDescent="0.3">
      <c r="A165" s="104" t="s">
        <v>39</v>
      </c>
      <c r="B165" s="3" t="s">
        <v>13</v>
      </c>
      <c r="C165" s="4">
        <v>3</v>
      </c>
      <c r="D165" s="20">
        <v>7</v>
      </c>
      <c r="E165" s="5">
        <f t="shared" si="3"/>
        <v>2.3333333333333335</v>
      </c>
      <c r="F165" s="6">
        <v>2</v>
      </c>
      <c r="G165" s="34">
        <v>4</v>
      </c>
      <c r="H165" s="5">
        <v>5.8382352941000004</v>
      </c>
      <c r="I165" s="5">
        <v>6.8533333333000002</v>
      </c>
      <c r="J165" s="5">
        <v>6.3409512542333344</v>
      </c>
      <c r="K165" s="48"/>
      <c r="L165" s="48"/>
      <c r="M165" s="5">
        <v>6.5714285714000003</v>
      </c>
      <c r="N165" s="48"/>
      <c r="O165" s="48"/>
      <c r="P165" s="48"/>
      <c r="Q165" s="48"/>
      <c r="R165" s="5">
        <v>505</v>
      </c>
      <c r="S165" s="29"/>
    </row>
    <row r="166" spans="1:19" x14ac:dyDescent="0.3">
      <c r="A166" s="105"/>
      <c r="B166" s="3" t="s">
        <v>72</v>
      </c>
      <c r="C166" s="4">
        <v>4</v>
      </c>
      <c r="D166" s="20">
        <v>32</v>
      </c>
      <c r="E166" s="5">
        <f t="shared" si="3"/>
        <v>8</v>
      </c>
      <c r="F166" s="6">
        <v>4</v>
      </c>
      <c r="G166" s="34">
        <v>3</v>
      </c>
      <c r="H166" s="5">
        <v>2.375</v>
      </c>
      <c r="I166" s="5">
        <v>8.140625</v>
      </c>
      <c r="J166" s="5">
        <v>5.7865747756062502</v>
      </c>
      <c r="K166" s="5">
        <v>5.2972972973000001</v>
      </c>
      <c r="L166" s="5">
        <v>6.3802816901000003</v>
      </c>
      <c r="M166" s="5">
        <v>5.8286209373250006</v>
      </c>
      <c r="N166" s="48"/>
      <c r="O166" s="48"/>
      <c r="P166" s="5">
        <v>950</v>
      </c>
      <c r="Q166" s="5">
        <v>870</v>
      </c>
      <c r="R166" s="5">
        <v>900</v>
      </c>
      <c r="S166" s="29"/>
    </row>
    <row r="167" spans="1:19" x14ac:dyDescent="0.3">
      <c r="A167" s="105"/>
      <c r="B167" s="3" t="s">
        <v>14</v>
      </c>
      <c r="C167" s="4">
        <v>3</v>
      </c>
      <c r="D167" s="20">
        <v>13</v>
      </c>
      <c r="E167" s="5">
        <f t="shared" si="3"/>
        <v>4.333333333333333</v>
      </c>
      <c r="F167" s="6">
        <v>3</v>
      </c>
      <c r="G167" s="34">
        <v>2</v>
      </c>
      <c r="H167" s="5">
        <v>4.2142857142999999</v>
      </c>
      <c r="I167" s="5">
        <v>8.1428571429000005</v>
      </c>
      <c r="J167" s="5">
        <v>6.2174395585500006</v>
      </c>
      <c r="K167" s="5">
        <v>5.9824561404000001</v>
      </c>
      <c r="L167" s="5">
        <v>6.6162790698</v>
      </c>
      <c r="M167" s="5">
        <v>6.2310249442666672</v>
      </c>
      <c r="N167" s="48"/>
      <c r="O167" s="48"/>
      <c r="P167" s="5">
        <v>920</v>
      </c>
      <c r="Q167" s="5">
        <v>830</v>
      </c>
      <c r="R167" s="5">
        <v>863.33333333333337</v>
      </c>
      <c r="S167" s="29"/>
    </row>
    <row r="168" spans="1:19" x14ac:dyDescent="0.3">
      <c r="A168" s="105"/>
      <c r="B168" s="3" t="s">
        <v>80</v>
      </c>
      <c r="C168" s="4">
        <v>8</v>
      </c>
      <c r="D168" s="20">
        <v>10</v>
      </c>
      <c r="E168" s="5">
        <f t="shared" si="3"/>
        <v>1.25</v>
      </c>
      <c r="F168" s="6">
        <v>2</v>
      </c>
      <c r="G168" s="34">
        <v>2</v>
      </c>
      <c r="H168" s="5">
        <v>4.0128205128000003</v>
      </c>
      <c r="I168" s="5">
        <v>7.4637681158999998</v>
      </c>
      <c r="J168" s="5">
        <v>5.9252460309899995</v>
      </c>
      <c r="K168" s="48"/>
      <c r="L168" s="48"/>
      <c r="M168" s="5">
        <v>4.9102564102499997</v>
      </c>
      <c r="N168" s="48"/>
      <c r="O168" s="48"/>
      <c r="P168" s="48"/>
      <c r="Q168" s="48"/>
      <c r="R168" s="5">
        <v>845</v>
      </c>
      <c r="S168" s="29"/>
    </row>
    <row r="169" spans="1:19" x14ac:dyDescent="0.3">
      <c r="A169" s="105"/>
      <c r="B169" s="3" t="s">
        <v>81</v>
      </c>
      <c r="C169" s="4">
        <v>6</v>
      </c>
      <c r="D169" s="20">
        <v>13</v>
      </c>
      <c r="E169" s="5">
        <f t="shared" si="3"/>
        <v>2.1666666666666665</v>
      </c>
      <c r="F169" s="6">
        <v>3</v>
      </c>
      <c r="G169" s="34">
        <v>6</v>
      </c>
      <c r="H169" s="5">
        <v>5.0166666666999999</v>
      </c>
      <c r="I169" s="5">
        <v>8.1219512194999997</v>
      </c>
      <c r="J169" s="5">
        <v>6.3872485550000002</v>
      </c>
      <c r="K169" s="5">
        <v>6.3809523810000002</v>
      </c>
      <c r="L169" s="5">
        <v>7.625</v>
      </c>
      <c r="M169" s="5">
        <v>6.8071789322000003</v>
      </c>
      <c r="N169" s="48"/>
      <c r="O169" s="48"/>
      <c r="P169" s="5">
        <v>870</v>
      </c>
      <c r="Q169" s="5">
        <v>710</v>
      </c>
      <c r="R169" s="5">
        <v>783.33333333333337</v>
      </c>
      <c r="S169" s="29"/>
    </row>
    <row r="170" spans="1:19" x14ac:dyDescent="0.3">
      <c r="A170" s="105"/>
      <c r="B170" s="24" t="s">
        <v>55</v>
      </c>
      <c r="C170" s="4">
        <v>7</v>
      </c>
      <c r="D170" s="20">
        <v>33</v>
      </c>
      <c r="E170" s="5">
        <f t="shared" si="3"/>
        <v>4.7142857142857144</v>
      </c>
      <c r="F170" s="6">
        <v>7</v>
      </c>
      <c r="G170" s="34">
        <v>12</v>
      </c>
      <c r="H170" s="5">
        <v>1.25</v>
      </c>
      <c r="I170" s="5">
        <v>8.3333333333000006</v>
      </c>
      <c r="J170" s="5">
        <v>5.9950130033484843</v>
      </c>
      <c r="K170" s="5">
        <v>5.2463768116000002</v>
      </c>
      <c r="L170" s="5">
        <v>7.6219512194999997</v>
      </c>
      <c r="M170" s="5">
        <v>6.1902300762571425</v>
      </c>
      <c r="N170" s="5">
        <v>6.1846153845999998</v>
      </c>
      <c r="O170" s="5">
        <v>7.6219512194999997</v>
      </c>
      <c r="P170" s="5">
        <v>790</v>
      </c>
      <c r="Q170" s="5">
        <v>660</v>
      </c>
      <c r="R170" s="5">
        <v>741.42857142857144</v>
      </c>
      <c r="S170" s="29"/>
    </row>
    <row r="171" spans="1:19" x14ac:dyDescent="0.3">
      <c r="A171" s="106"/>
      <c r="B171" s="18" t="s">
        <v>87</v>
      </c>
      <c r="C171" s="4">
        <v>9</v>
      </c>
      <c r="D171" s="20">
        <v>82</v>
      </c>
      <c r="E171" s="5">
        <f t="shared" si="3"/>
        <v>9.1111111111111107</v>
      </c>
      <c r="F171" s="6">
        <v>9</v>
      </c>
      <c r="G171" s="34">
        <v>10</v>
      </c>
      <c r="H171" s="5">
        <v>3.7916666666999999</v>
      </c>
      <c r="I171" s="5">
        <v>8.0277777778000008</v>
      </c>
      <c r="J171" s="5">
        <v>5.7876963794134122</v>
      </c>
      <c r="K171" s="5">
        <v>4.7301587302000003</v>
      </c>
      <c r="L171" s="5">
        <v>5.7543859649</v>
      </c>
      <c r="M171" s="5">
        <v>5.3090131778555563</v>
      </c>
      <c r="N171" s="5">
        <v>5.5529411765000001</v>
      </c>
      <c r="O171" s="5">
        <v>5.7543859649</v>
      </c>
      <c r="P171" s="5">
        <v>960</v>
      </c>
      <c r="Q171" s="5">
        <v>910</v>
      </c>
      <c r="R171" s="5">
        <v>931.11111111111109</v>
      </c>
      <c r="S171" s="29"/>
    </row>
    <row r="172" spans="1:19" x14ac:dyDescent="0.3">
      <c r="A172" s="34" t="s">
        <v>40</v>
      </c>
      <c r="B172" s="3" t="s">
        <v>18</v>
      </c>
      <c r="C172" s="4">
        <v>4</v>
      </c>
      <c r="D172" s="20">
        <v>13</v>
      </c>
      <c r="E172" s="5">
        <f t="shared" si="3"/>
        <v>3.25</v>
      </c>
      <c r="F172" s="6">
        <v>4</v>
      </c>
      <c r="G172" s="34">
        <v>5</v>
      </c>
      <c r="H172" s="5">
        <v>3.5714285713999998</v>
      </c>
      <c r="I172" s="5">
        <v>5.8472222222000001</v>
      </c>
      <c r="J172" s="5">
        <v>5.0698089753615383</v>
      </c>
      <c r="K172" s="5">
        <v>4.6363636363999996</v>
      </c>
      <c r="L172" s="5">
        <v>5.8472222222000001</v>
      </c>
      <c r="M172" s="5">
        <v>5.3094246031749996</v>
      </c>
      <c r="N172" s="48"/>
      <c r="O172" s="48"/>
      <c r="P172" s="5">
        <v>840</v>
      </c>
      <c r="Q172" s="5">
        <v>670</v>
      </c>
      <c r="R172" s="5">
        <v>732.5</v>
      </c>
      <c r="S172" s="29"/>
    </row>
    <row r="173" spans="1:19" x14ac:dyDescent="0.3">
      <c r="A173" s="104" t="s">
        <v>42</v>
      </c>
      <c r="B173" s="3" t="s">
        <v>8</v>
      </c>
      <c r="C173" s="4">
        <v>5</v>
      </c>
      <c r="D173" s="20">
        <v>8</v>
      </c>
      <c r="E173" s="5">
        <f t="shared" si="3"/>
        <v>1.6</v>
      </c>
      <c r="F173" s="6">
        <v>4</v>
      </c>
      <c r="G173" s="34">
        <v>3</v>
      </c>
      <c r="H173" s="5">
        <v>5.64</v>
      </c>
      <c r="I173" s="5">
        <v>7.890625</v>
      </c>
      <c r="J173" s="5">
        <v>6.6963213366800005</v>
      </c>
      <c r="K173" s="5">
        <v>6.8815789474000004</v>
      </c>
      <c r="L173" s="5">
        <v>7.1234567900999997</v>
      </c>
      <c r="M173" s="5">
        <v>7.00251786875</v>
      </c>
      <c r="N173" s="48"/>
      <c r="O173" s="48"/>
      <c r="P173" s="5">
        <v>590</v>
      </c>
      <c r="Q173" s="5">
        <v>200</v>
      </c>
      <c r="R173" s="5">
        <v>410</v>
      </c>
      <c r="S173" s="29"/>
    </row>
    <row r="174" spans="1:19" x14ac:dyDescent="0.3">
      <c r="A174" s="106"/>
      <c r="B174" s="3" t="s">
        <v>43</v>
      </c>
      <c r="C174" s="4">
        <v>23</v>
      </c>
      <c r="D174" s="20">
        <v>111</v>
      </c>
      <c r="E174" s="5">
        <f t="shared" si="3"/>
        <v>4.8260869565217392</v>
      </c>
      <c r="F174" s="6">
        <v>21</v>
      </c>
      <c r="G174" s="34">
        <v>19</v>
      </c>
      <c r="H174" s="5">
        <v>1.84</v>
      </c>
      <c r="I174" s="5">
        <v>7.4868421053</v>
      </c>
      <c r="J174" s="5">
        <v>5.8323902973174331</v>
      </c>
      <c r="K174" s="5">
        <v>4.0447761193999998</v>
      </c>
      <c r="L174" s="5">
        <v>6.0253164556999996</v>
      </c>
      <c r="M174" s="5">
        <v>5.3677832359571429</v>
      </c>
      <c r="N174" s="5">
        <v>5.8076923077</v>
      </c>
      <c r="O174" s="5">
        <v>5.9493670885999999</v>
      </c>
      <c r="P174" s="5">
        <v>910</v>
      </c>
      <c r="Q174" s="5">
        <v>660</v>
      </c>
      <c r="R174" s="5">
        <v>751.90476190476193</v>
      </c>
      <c r="S174" s="29"/>
    </row>
    <row r="175" spans="1:19" ht="33" x14ac:dyDescent="0.3">
      <c r="A175" s="9" t="s">
        <v>91</v>
      </c>
      <c r="B175" s="3" t="s">
        <v>88</v>
      </c>
      <c r="C175" s="20">
        <v>6</v>
      </c>
      <c r="D175" s="20">
        <v>6</v>
      </c>
      <c r="E175" s="5">
        <f t="shared" si="3"/>
        <v>1</v>
      </c>
      <c r="F175" s="6">
        <v>5</v>
      </c>
      <c r="G175" s="34" t="s">
        <v>74</v>
      </c>
      <c r="H175" s="5">
        <v>3.2777777777999999</v>
      </c>
      <c r="I175" s="5">
        <v>5.1363636363999996</v>
      </c>
      <c r="J175" s="5">
        <v>4.2070707070999998</v>
      </c>
      <c r="K175" s="5">
        <v>3.2777777777999999</v>
      </c>
      <c r="L175" s="5">
        <v>5.1363636363999996</v>
      </c>
      <c r="M175" s="5">
        <v>4.2070707070999998</v>
      </c>
      <c r="N175" s="5">
        <v>5.1363636363999996</v>
      </c>
      <c r="O175" s="5">
        <v>5.1363636363999996</v>
      </c>
      <c r="P175" s="5">
        <v>900</v>
      </c>
      <c r="Q175" s="5">
        <v>740</v>
      </c>
      <c r="R175" s="5">
        <v>830</v>
      </c>
      <c r="S175" s="29"/>
    </row>
    <row r="176" spans="1:19" x14ac:dyDescent="0.3">
      <c r="A176" s="92" t="s">
        <v>21</v>
      </c>
      <c r="B176" s="93"/>
      <c r="C176" s="7">
        <f>SUM(C141:C175)</f>
        <v>322</v>
      </c>
      <c r="D176" s="32">
        <f>SUM(D141:D175)</f>
        <v>1432</v>
      </c>
      <c r="E176" s="8">
        <f>D176/C176</f>
        <v>4.4472049689440993</v>
      </c>
      <c r="F176" s="7">
        <f>SUM(F141:F175)</f>
        <v>278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47"/>
      <c r="R176" s="7"/>
      <c r="S176" s="28"/>
    </row>
    <row r="178" spans="1:19" x14ac:dyDescent="0.3">
      <c r="A178" s="87" t="s">
        <v>0</v>
      </c>
      <c r="B178" s="95" t="s">
        <v>1</v>
      </c>
      <c r="C178" s="51" t="s">
        <v>25</v>
      </c>
      <c r="D178" s="52"/>
      <c r="E178" s="52"/>
      <c r="F178" s="52"/>
      <c r="G178" s="53"/>
      <c r="H178" s="67" t="s">
        <v>102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3" t="s">
        <v>75</v>
      </c>
    </row>
    <row r="179" spans="1:19" x14ac:dyDescent="0.3">
      <c r="A179" s="88"/>
      <c r="B179" s="96"/>
      <c r="C179" s="54"/>
      <c r="D179" s="55"/>
      <c r="E179" s="55"/>
      <c r="F179" s="55"/>
      <c r="G179" s="56"/>
      <c r="H179" s="83" t="s">
        <v>76</v>
      </c>
      <c r="I179" s="84"/>
      <c r="J179" s="85"/>
      <c r="K179" s="77" t="s">
        <v>77</v>
      </c>
      <c r="L179" s="78"/>
      <c r="M179" s="78"/>
      <c r="N179" s="78"/>
      <c r="O179" s="78"/>
      <c r="P179" s="78"/>
      <c r="Q179" s="78"/>
      <c r="R179" s="78"/>
      <c r="S179" s="63"/>
    </row>
    <row r="180" spans="1:19" ht="16.5" customHeight="1" x14ac:dyDescent="0.3">
      <c r="A180" s="88"/>
      <c r="B180" s="96"/>
      <c r="C180" s="70" t="s">
        <v>3</v>
      </c>
      <c r="D180" s="71"/>
      <c r="E180" s="72"/>
      <c r="F180" s="73" t="s">
        <v>4</v>
      </c>
      <c r="G180" s="75" t="s">
        <v>93</v>
      </c>
      <c r="H180" s="86" t="s">
        <v>66</v>
      </c>
      <c r="I180" s="86"/>
      <c r="J180" s="86"/>
      <c r="K180" s="82" t="s">
        <v>66</v>
      </c>
      <c r="L180" s="82"/>
      <c r="M180" s="82"/>
      <c r="N180" s="82"/>
      <c r="O180" s="82"/>
      <c r="P180" s="82" t="s">
        <v>65</v>
      </c>
      <c r="Q180" s="82"/>
      <c r="R180" s="82"/>
      <c r="S180" s="63"/>
    </row>
    <row r="181" spans="1:19" x14ac:dyDescent="0.3">
      <c r="A181" s="89"/>
      <c r="B181" s="107"/>
      <c r="C181" s="1" t="s">
        <v>5</v>
      </c>
      <c r="D181" s="1" t="s">
        <v>6</v>
      </c>
      <c r="E181" s="2" t="s">
        <v>7</v>
      </c>
      <c r="F181" s="74"/>
      <c r="G181" s="76"/>
      <c r="H181" s="22" t="s">
        <v>67</v>
      </c>
      <c r="I181" s="22" t="s">
        <v>64</v>
      </c>
      <c r="J181" s="22" t="s">
        <v>68</v>
      </c>
      <c r="K181" s="50" t="s">
        <v>67</v>
      </c>
      <c r="L181" s="50" t="s">
        <v>64</v>
      </c>
      <c r="M181" s="50" t="s">
        <v>68</v>
      </c>
      <c r="N181" s="50" t="s">
        <v>69</v>
      </c>
      <c r="O181" s="50" t="s">
        <v>70</v>
      </c>
      <c r="P181" s="50" t="s">
        <v>62</v>
      </c>
      <c r="Q181" s="50" t="s">
        <v>64</v>
      </c>
      <c r="R181" s="50" t="s">
        <v>63</v>
      </c>
      <c r="S181" s="63"/>
    </row>
    <row r="182" spans="1:19" x14ac:dyDescent="0.3">
      <c r="A182" s="12" t="s">
        <v>32</v>
      </c>
      <c r="B182" s="11" t="s">
        <v>11</v>
      </c>
      <c r="C182" s="12">
        <v>5</v>
      </c>
      <c r="D182" s="12">
        <v>74</v>
      </c>
      <c r="E182" s="13">
        <f>D182/C182</f>
        <v>14.8</v>
      </c>
      <c r="F182" s="6">
        <v>5</v>
      </c>
      <c r="G182" s="20">
        <v>4</v>
      </c>
      <c r="H182" s="46">
        <v>3.1025641026000002</v>
      </c>
      <c r="I182" s="46">
        <v>4.4453702526575354</v>
      </c>
      <c r="J182" s="46">
        <v>7.5</v>
      </c>
      <c r="K182" s="46">
        <v>3.5555555555999998</v>
      </c>
      <c r="L182" s="46">
        <v>4.4189189189000002</v>
      </c>
      <c r="M182" s="46">
        <v>3.8764392964600005</v>
      </c>
      <c r="N182" s="46">
        <v>3.86</v>
      </c>
      <c r="O182" s="46">
        <v>3.86</v>
      </c>
      <c r="P182" s="5">
        <v>878</v>
      </c>
      <c r="Q182" s="5">
        <v>782</v>
      </c>
      <c r="R182" s="5">
        <v>817.2</v>
      </c>
      <c r="S182" s="31"/>
    </row>
    <row r="183" spans="1:19" x14ac:dyDescent="0.3">
      <c r="A183" s="98" t="s">
        <v>40</v>
      </c>
      <c r="B183" s="11" t="s">
        <v>15</v>
      </c>
      <c r="C183" s="12">
        <v>8</v>
      </c>
      <c r="D183" s="12">
        <v>23</v>
      </c>
      <c r="E183" s="13">
        <f t="shared" ref="E183:E188" si="4">D183/C183</f>
        <v>2.875</v>
      </c>
      <c r="F183" s="6">
        <v>8</v>
      </c>
      <c r="G183" s="20">
        <v>2</v>
      </c>
      <c r="H183" s="46">
        <v>2.9555555556000002</v>
      </c>
      <c r="I183" s="46">
        <v>4.9100895864130436</v>
      </c>
      <c r="J183" s="46">
        <v>6.4512195121999998</v>
      </c>
      <c r="K183" s="46">
        <v>2.9555555556000002</v>
      </c>
      <c r="L183" s="46">
        <v>6.4512195121999998</v>
      </c>
      <c r="M183" s="46">
        <v>4.7911862150250002</v>
      </c>
      <c r="N183" s="46">
        <v>5.21</v>
      </c>
      <c r="O183" s="46">
        <v>5.36</v>
      </c>
      <c r="P183" s="5">
        <v>920</v>
      </c>
      <c r="Q183" s="5">
        <v>578</v>
      </c>
      <c r="R183" s="5">
        <v>723.75</v>
      </c>
      <c r="S183" s="31"/>
    </row>
    <row r="184" spans="1:19" x14ac:dyDescent="0.3">
      <c r="A184" s="99"/>
      <c r="B184" s="11" t="s">
        <v>16</v>
      </c>
      <c r="C184" s="12">
        <v>5</v>
      </c>
      <c r="D184" s="12">
        <v>32</v>
      </c>
      <c r="E184" s="13">
        <f t="shared" si="4"/>
        <v>6.4</v>
      </c>
      <c r="F184" s="6">
        <v>5</v>
      </c>
      <c r="G184" s="20">
        <v>2</v>
      </c>
      <c r="H184" s="46">
        <v>3.2727272727000001</v>
      </c>
      <c r="I184" s="46">
        <v>4.4318764424645165</v>
      </c>
      <c r="J184" s="46">
        <v>5.5890410958999999</v>
      </c>
      <c r="K184" s="46">
        <v>3.5230769231000001</v>
      </c>
      <c r="L184" s="46">
        <v>4.2531645569999998</v>
      </c>
      <c r="M184" s="46">
        <v>3.9963317739199993</v>
      </c>
      <c r="N184" s="46">
        <v>4.12</v>
      </c>
      <c r="O184" s="46">
        <v>4.22</v>
      </c>
      <c r="P184" s="5">
        <v>844</v>
      </c>
      <c r="Q184" s="5">
        <v>800</v>
      </c>
      <c r="R184" s="5">
        <v>827.2</v>
      </c>
      <c r="S184" s="31"/>
    </row>
    <row r="185" spans="1:19" x14ac:dyDescent="0.3">
      <c r="A185" s="99"/>
      <c r="B185" s="11" t="s">
        <v>17</v>
      </c>
      <c r="C185" s="12">
        <v>8</v>
      </c>
      <c r="D185" s="12">
        <v>35</v>
      </c>
      <c r="E185" s="13">
        <f t="shared" si="4"/>
        <v>4.375</v>
      </c>
      <c r="F185" s="6">
        <v>8</v>
      </c>
      <c r="G185" s="20">
        <v>6</v>
      </c>
      <c r="H185" s="46">
        <v>4.125</v>
      </c>
      <c r="I185" s="46">
        <v>5.4565338277971422</v>
      </c>
      <c r="J185" s="46">
        <v>7.6956521739000001</v>
      </c>
      <c r="K185" s="46">
        <v>4.5232558139999997</v>
      </c>
      <c r="L185" s="46">
        <v>6.484375</v>
      </c>
      <c r="M185" s="46">
        <v>5.6845572792000008</v>
      </c>
      <c r="N185" s="46">
        <v>5.71</v>
      </c>
      <c r="O185" s="46">
        <v>6.08</v>
      </c>
      <c r="P185" s="5">
        <v>934</v>
      </c>
      <c r="Q185" s="5">
        <v>608</v>
      </c>
      <c r="R185" s="5">
        <v>722.25</v>
      </c>
      <c r="S185" s="31"/>
    </row>
    <row r="186" spans="1:19" x14ac:dyDescent="0.3">
      <c r="A186" s="99"/>
      <c r="B186" s="11" t="s">
        <v>18</v>
      </c>
      <c r="C186" s="12">
        <v>4</v>
      </c>
      <c r="D186" s="12">
        <v>15</v>
      </c>
      <c r="E186" s="13">
        <f t="shared" si="4"/>
        <v>3.75</v>
      </c>
      <c r="F186" s="6">
        <v>4</v>
      </c>
      <c r="G186" s="20">
        <v>2</v>
      </c>
      <c r="H186" s="46">
        <v>4.4225352112999996</v>
      </c>
      <c r="I186" s="46">
        <v>5.5063638786533327</v>
      </c>
      <c r="J186" s="46">
        <v>6.2708333332999997</v>
      </c>
      <c r="K186" s="46">
        <v>4.4857142857000003</v>
      </c>
      <c r="L186" s="46">
        <v>6.2173913043000004</v>
      </c>
      <c r="M186" s="46">
        <v>5.3398789616000002</v>
      </c>
      <c r="N186" s="48"/>
      <c r="O186" s="48"/>
      <c r="P186" s="5">
        <v>934</v>
      </c>
      <c r="Q186" s="5">
        <v>676</v>
      </c>
      <c r="R186" s="5">
        <v>782</v>
      </c>
      <c r="S186" s="31"/>
    </row>
    <row r="187" spans="1:19" x14ac:dyDescent="0.3">
      <c r="A187" s="126"/>
      <c r="B187" s="11" t="s">
        <v>19</v>
      </c>
      <c r="C187" s="12">
        <v>8</v>
      </c>
      <c r="D187" s="12">
        <v>23</v>
      </c>
      <c r="E187" s="13">
        <f t="shared" si="4"/>
        <v>2.875</v>
      </c>
      <c r="F187" s="6">
        <v>7</v>
      </c>
      <c r="G187" s="20">
        <v>1</v>
      </c>
      <c r="H187" s="46">
        <v>4.2083333332999997</v>
      </c>
      <c r="I187" s="46">
        <v>5.9798076934826083</v>
      </c>
      <c r="J187" s="46">
        <v>7.3417721518999999</v>
      </c>
      <c r="K187" s="46">
        <v>4.4637681158999998</v>
      </c>
      <c r="L187" s="46">
        <v>6.390625</v>
      </c>
      <c r="M187" s="46">
        <v>5.4784851754571431</v>
      </c>
      <c r="N187" s="46">
        <v>5.89</v>
      </c>
      <c r="O187" s="46">
        <v>6.28</v>
      </c>
      <c r="P187" s="5">
        <v>940</v>
      </c>
      <c r="Q187" s="5">
        <v>652</v>
      </c>
      <c r="R187" s="5">
        <v>799.14285714285711</v>
      </c>
      <c r="S187" s="31"/>
    </row>
    <row r="188" spans="1:19" x14ac:dyDescent="0.3">
      <c r="A188" s="37" t="s">
        <v>41</v>
      </c>
      <c r="B188" s="11" t="s">
        <v>20</v>
      </c>
      <c r="C188" s="12">
        <v>4</v>
      </c>
      <c r="D188" s="12">
        <v>77</v>
      </c>
      <c r="E188" s="13">
        <f t="shared" si="4"/>
        <v>19.25</v>
      </c>
      <c r="F188" s="6">
        <v>2</v>
      </c>
      <c r="G188" s="20">
        <v>1</v>
      </c>
      <c r="H188" s="46">
        <v>1.4262295082000001</v>
      </c>
      <c r="I188" s="46">
        <v>1.9821972772486494</v>
      </c>
      <c r="J188" s="46">
        <v>5.2278481013000002</v>
      </c>
      <c r="K188" s="48"/>
      <c r="L188" s="48"/>
      <c r="M188" s="46">
        <v>1.7678571429000001</v>
      </c>
      <c r="N188" s="48"/>
      <c r="O188" s="48"/>
      <c r="P188" s="48"/>
      <c r="Q188" s="48"/>
      <c r="R188" s="5">
        <v>733</v>
      </c>
      <c r="S188" s="31"/>
    </row>
    <row r="189" spans="1:19" x14ac:dyDescent="0.3">
      <c r="A189" s="92" t="s">
        <v>21</v>
      </c>
      <c r="B189" s="93"/>
      <c r="C189" s="7">
        <f>SUM(C182:C188)</f>
        <v>42</v>
      </c>
      <c r="D189" s="7">
        <f>SUM(D182:D188)</f>
        <v>279</v>
      </c>
      <c r="E189" s="8">
        <f>D189/C189</f>
        <v>6.6428571428571432</v>
      </c>
      <c r="F189" s="7">
        <f>SUM(F182:F188)</f>
        <v>39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47"/>
      <c r="R189" s="7"/>
      <c r="S189" s="28"/>
    </row>
    <row r="191" spans="1:19" x14ac:dyDescent="0.3">
      <c r="A191" s="87" t="s">
        <v>0</v>
      </c>
      <c r="B191" s="95" t="s">
        <v>1</v>
      </c>
      <c r="C191" s="51" t="s">
        <v>27</v>
      </c>
      <c r="D191" s="52"/>
      <c r="E191" s="52"/>
      <c r="F191" s="52"/>
      <c r="G191" s="53"/>
      <c r="H191" s="67" t="s">
        <v>102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3" t="s">
        <v>75</v>
      </c>
    </row>
    <row r="192" spans="1:19" x14ac:dyDescent="0.3">
      <c r="A192" s="88"/>
      <c r="B192" s="96"/>
      <c r="C192" s="54"/>
      <c r="D192" s="55"/>
      <c r="E192" s="55"/>
      <c r="F192" s="55"/>
      <c r="G192" s="56"/>
      <c r="H192" s="83" t="s">
        <v>76</v>
      </c>
      <c r="I192" s="84"/>
      <c r="J192" s="85"/>
      <c r="K192" s="77" t="s">
        <v>77</v>
      </c>
      <c r="L192" s="78"/>
      <c r="M192" s="78"/>
      <c r="N192" s="78"/>
      <c r="O192" s="78"/>
      <c r="P192" s="78"/>
      <c r="Q192" s="78"/>
      <c r="R192" s="78"/>
      <c r="S192" s="63"/>
    </row>
    <row r="193" spans="1:19" ht="16.5" customHeight="1" x14ac:dyDescent="0.3">
      <c r="A193" s="88"/>
      <c r="B193" s="96"/>
      <c r="C193" s="70" t="s">
        <v>3</v>
      </c>
      <c r="D193" s="71"/>
      <c r="E193" s="72"/>
      <c r="F193" s="73" t="s">
        <v>4</v>
      </c>
      <c r="G193" s="75" t="s">
        <v>93</v>
      </c>
      <c r="H193" s="86" t="s">
        <v>66</v>
      </c>
      <c r="I193" s="86"/>
      <c r="J193" s="86"/>
      <c r="K193" s="82" t="s">
        <v>66</v>
      </c>
      <c r="L193" s="82"/>
      <c r="M193" s="82"/>
      <c r="N193" s="82"/>
      <c r="O193" s="82"/>
      <c r="P193" s="82" t="s">
        <v>65</v>
      </c>
      <c r="Q193" s="82"/>
      <c r="R193" s="82"/>
      <c r="S193" s="63"/>
    </row>
    <row r="194" spans="1:19" x14ac:dyDescent="0.3">
      <c r="A194" s="89"/>
      <c r="B194" s="107"/>
      <c r="C194" s="1" t="s">
        <v>5</v>
      </c>
      <c r="D194" s="1" t="s">
        <v>6</v>
      </c>
      <c r="E194" s="2" t="s">
        <v>7</v>
      </c>
      <c r="F194" s="74"/>
      <c r="G194" s="76"/>
      <c r="H194" s="22" t="s">
        <v>67</v>
      </c>
      <c r="I194" s="22" t="s">
        <v>64</v>
      </c>
      <c r="J194" s="22" t="s">
        <v>68</v>
      </c>
      <c r="K194" s="50" t="s">
        <v>67</v>
      </c>
      <c r="L194" s="50" t="s">
        <v>64</v>
      </c>
      <c r="M194" s="50" t="s">
        <v>68</v>
      </c>
      <c r="N194" s="50" t="s">
        <v>69</v>
      </c>
      <c r="O194" s="50" t="s">
        <v>70</v>
      </c>
      <c r="P194" s="50" t="s">
        <v>62</v>
      </c>
      <c r="Q194" s="50" t="s">
        <v>64</v>
      </c>
      <c r="R194" s="50" t="s">
        <v>63</v>
      </c>
      <c r="S194" s="63"/>
    </row>
    <row r="195" spans="1:19" x14ac:dyDescent="0.3">
      <c r="A195" s="35" t="s">
        <v>29</v>
      </c>
      <c r="B195" s="40" t="s">
        <v>45</v>
      </c>
      <c r="C195" s="100">
        <v>6</v>
      </c>
      <c r="D195" s="34">
        <v>1</v>
      </c>
      <c r="E195" s="80">
        <f>D207/C207</f>
        <v>2.1666666666666665</v>
      </c>
      <c r="F195" s="6" t="s">
        <v>74</v>
      </c>
      <c r="G195" s="34"/>
      <c r="H195" s="80">
        <v>4.84</v>
      </c>
      <c r="I195" s="80">
        <v>9</v>
      </c>
      <c r="J195" s="80">
        <v>7.06</v>
      </c>
      <c r="K195" s="80">
        <v>6.14</v>
      </c>
      <c r="L195" s="80">
        <v>8.33</v>
      </c>
      <c r="M195" s="80">
        <v>7.16</v>
      </c>
      <c r="N195" s="80">
        <v>7.33</v>
      </c>
      <c r="O195" s="80">
        <v>7.41</v>
      </c>
      <c r="P195" s="80">
        <v>658</v>
      </c>
      <c r="Q195" s="80">
        <v>458</v>
      </c>
      <c r="R195" s="80">
        <v>518.33000000000004</v>
      </c>
      <c r="S195" s="123"/>
    </row>
    <row r="196" spans="1:19" x14ac:dyDescent="0.3">
      <c r="A196" s="104" t="s">
        <v>30</v>
      </c>
      <c r="B196" s="42" t="s">
        <v>46</v>
      </c>
      <c r="C196" s="101"/>
      <c r="D196" s="34">
        <v>1</v>
      </c>
      <c r="E196" s="81"/>
      <c r="F196" s="6">
        <v>1</v>
      </c>
      <c r="G196" s="34" t="s">
        <v>74</v>
      </c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124"/>
    </row>
    <row r="197" spans="1:19" x14ac:dyDescent="0.3">
      <c r="A197" s="105"/>
      <c r="B197" s="42" t="s">
        <v>47</v>
      </c>
      <c r="C197" s="101"/>
      <c r="D197" s="34">
        <v>1</v>
      </c>
      <c r="E197" s="81"/>
      <c r="F197" s="6">
        <v>1</v>
      </c>
      <c r="G197" s="34" t="s">
        <v>74</v>
      </c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124"/>
    </row>
    <row r="198" spans="1:19" x14ac:dyDescent="0.3">
      <c r="A198" s="106"/>
      <c r="B198" s="42" t="s">
        <v>10</v>
      </c>
      <c r="C198" s="101"/>
      <c r="D198" s="34">
        <v>2</v>
      </c>
      <c r="E198" s="81"/>
      <c r="F198" s="6">
        <v>1</v>
      </c>
      <c r="G198" s="34">
        <v>0</v>
      </c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124"/>
    </row>
    <row r="199" spans="1:19" x14ac:dyDescent="0.3">
      <c r="A199" s="34" t="s">
        <v>32</v>
      </c>
      <c r="B199" s="42" t="s">
        <v>49</v>
      </c>
      <c r="C199" s="101"/>
      <c r="D199" s="34">
        <v>1</v>
      </c>
      <c r="E199" s="81"/>
      <c r="F199" s="6" t="s">
        <v>74</v>
      </c>
      <c r="G199" s="39" t="s">
        <v>74</v>
      </c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124"/>
    </row>
    <row r="200" spans="1:19" x14ac:dyDescent="0.3">
      <c r="A200" s="34" t="s">
        <v>33</v>
      </c>
      <c r="B200" s="3" t="s">
        <v>12</v>
      </c>
      <c r="C200" s="101"/>
      <c r="D200" s="34">
        <v>1</v>
      </c>
      <c r="E200" s="81"/>
      <c r="F200" s="6" t="s">
        <v>74</v>
      </c>
      <c r="G200" s="39" t="s">
        <v>74</v>
      </c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124"/>
    </row>
    <row r="201" spans="1:19" x14ac:dyDescent="0.3">
      <c r="A201" s="34" t="s">
        <v>38</v>
      </c>
      <c r="B201" s="3" t="s">
        <v>54</v>
      </c>
      <c r="C201" s="101"/>
      <c r="D201" s="34">
        <v>1</v>
      </c>
      <c r="E201" s="81"/>
      <c r="F201" s="6">
        <v>1</v>
      </c>
      <c r="G201" s="34" t="s">
        <v>74</v>
      </c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124"/>
    </row>
    <row r="202" spans="1:19" x14ac:dyDescent="0.3">
      <c r="A202" s="104" t="s">
        <v>39</v>
      </c>
      <c r="B202" s="3" t="s">
        <v>13</v>
      </c>
      <c r="C202" s="101"/>
      <c r="D202" s="34">
        <v>1</v>
      </c>
      <c r="E202" s="81"/>
      <c r="F202" s="6" t="s">
        <v>74</v>
      </c>
      <c r="G202" s="39" t="s">
        <v>74</v>
      </c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124"/>
    </row>
    <row r="203" spans="1:19" x14ac:dyDescent="0.3">
      <c r="A203" s="105"/>
      <c r="B203" s="3" t="s">
        <v>72</v>
      </c>
      <c r="C203" s="101"/>
      <c r="D203" s="34">
        <v>1</v>
      </c>
      <c r="E203" s="81"/>
      <c r="F203" s="6" t="s">
        <v>74</v>
      </c>
      <c r="G203" s="39" t="s">
        <v>74</v>
      </c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124"/>
    </row>
    <row r="204" spans="1:19" x14ac:dyDescent="0.3">
      <c r="A204" s="105"/>
      <c r="B204" s="3" t="s">
        <v>55</v>
      </c>
      <c r="C204" s="101"/>
      <c r="D204" s="34">
        <v>1</v>
      </c>
      <c r="E204" s="81"/>
      <c r="F204" s="6">
        <v>1</v>
      </c>
      <c r="G204" s="34" t="s">
        <v>74</v>
      </c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124"/>
    </row>
    <row r="205" spans="1:19" x14ac:dyDescent="0.3">
      <c r="A205" s="106"/>
      <c r="B205" s="3" t="s">
        <v>87</v>
      </c>
      <c r="C205" s="101"/>
      <c r="D205" s="34">
        <v>1</v>
      </c>
      <c r="E205" s="81"/>
      <c r="F205" s="6">
        <v>1</v>
      </c>
      <c r="G205" s="34" t="s">
        <v>74</v>
      </c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124"/>
    </row>
    <row r="206" spans="1:19" x14ac:dyDescent="0.3">
      <c r="A206" s="34" t="s">
        <v>40</v>
      </c>
      <c r="B206" s="3" t="s">
        <v>16</v>
      </c>
      <c r="C206" s="102"/>
      <c r="D206" s="34">
        <v>1</v>
      </c>
      <c r="E206" s="103"/>
      <c r="F206" s="6" t="s">
        <v>74</v>
      </c>
      <c r="G206" s="39" t="s">
        <v>74</v>
      </c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124"/>
    </row>
    <row r="207" spans="1:19" x14ac:dyDescent="0.3">
      <c r="A207" s="92" t="s">
        <v>21</v>
      </c>
      <c r="B207" s="93"/>
      <c r="C207" s="7">
        <v>6</v>
      </c>
      <c r="D207" s="7">
        <f>SUM(D195:D206)</f>
        <v>13</v>
      </c>
      <c r="E207" s="8">
        <f>D207/C207</f>
        <v>2.1666666666666665</v>
      </c>
      <c r="F207" s="7">
        <f>SUM(F195:F206)</f>
        <v>6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47"/>
      <c r="R207" s="7"/>
      <c r="S207" s="28"/>
    </row>
    <row r="209" spans="1:19" x14ac:dyDescent="0.3">
      <c r="A209" s="87" t="s">
        <v>0</v>
      </c>
      <c r="B209" s="95" t="s">
        <v>1</v>
      </c>
      <c r="C209" s="51" t="s">
        <v>82</v>
      </c>
      <c r="D209" s="52"/>
      <c r="E209" s="52"/>
      <c r="F209" s="52"/>
      <c r="G209" s="53"/>
      <c r="H209" s="67" t="s">
        <v>103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3" t="s">
        <v>75</v>
      </c>
    </row>
    <row r="210" spans="1:19" x14ac:dyDescent="0.3">
      <c r="A210" s="88"/>
      <c r="B210" s="96"/>
      <c r="C210" s="54"/>
      <c r="D210" s="55"/>
      <c r="E210" s="55"/>
      <c r="F210" s="55"/>
      <c r="G210" s="56"/>
      <c r="H210" s="83" t="s">
        <v>76</v>
      </c>
      <c r="I210" s="84"/>
      <c r="J210" s="85"/>
      <c r="K210" s="77" t="s">
        <v>77</v>
      </c>
      <c r="L210" s="78"/>
      <c r="M210" s="78"/>
      <c r="N210" s="78"/>
      <c r="O210" s="78"/>
      <c r="P210" s="78"/>
      <c r="Q210" s="78"/>
      <c r="R210" s="78"/>
      <c r="S210" s="63"/>
    </row>
    <row r="211" spans="1:19" ht="16.5" customHeight="1" x14ac:dyDescent="0.3">
      <c r="A211" s="88"/>
      <c r="B211" s="96"/>
      <c r="C211" s="70" t="s">
        <v>3</v>
      </c>
      <c r="D211" s="71"/>
      <c r="E211" s="72"/>
      <c r="F211" s="73" t="s">
        <v>4</v>
      </c>
      <c r="G211" s="75" t="s">
        <v>93</v>
      </c>
      <c r="H211" s="86" t="s">
        <v>66</v>
      </c>
      <c r="I211" s="86"/>
      <c r="J211" s="86"/>
      <c r="K211" s="82" t="s">
        <v>66</v>
      </c>
      <c r="L211" s="82"/>
      <c r="M211" s="82"/>
      <c r="N211" s="82"/>
      <c r="O211" s="82"/>
      <c r="P211" s="82" t="s">
        <v>65</v>
      </c>
      <c r="Q211" s="82"/>
      <c r="R211" s="82"/>
      <c r="S211" s="63"/>
    </row>
    <row r="212" spans="1:19" x14ac:dyDescent="0.3">
      <c r="A212" s="94"/>
      <c r="B212" s="97"/>
      <c r="C212" s="1" t="s">
        <v>5</v>
      </c>
      <c r="D212" s="1" t="s">
        <v>6</v>
      </c>
      <c r="E212" s="2" t="s">
        <v>7</v>
      </c>
      <c r="F212" s="74"/>
      <c r="G212" s="76"/>
      <c r="H212" s="38" t="s">
        <v>67</v>
      </c>
      <c r="I212" s="38" t="s">
        <v>64</v>
      </c>
      <c r="J212" s="38" t="s">
        <v>68</v>
      </c>
      <c r="K212" s="50" t="s">
        <v>67</v>
      </c>
      <c r="L212" s="50" t="s">
        <v>64</v>
      </c>
      <c r="M212" s="50" t="s">
        <v>68</v>
      </c>
      <c r="N212" s="50" t="s">
        <v>69</v>
      </c>
      <c r="O212" s="50" t="s">
        <v>70</v>
      </c>
      <c r="P212" s="50" t="s">
        <v>62</v>
      </c>
      <c r="Q212" s="50" t="s">
        <v>64</v>
      </c>
      <c r="R212" s="50" t="s">
        <v>63</v>
      </c>
      <c r="S212" s="63"/>
    </row>
    <row r="213" spans="1:19" x14ac:dyDescent="0.3">
      <c r="A213" s="9" t="s">
        <v>39</v>
      </c>
      <c r="B213" s="10" t="s">
        <v>81</v>
      </c>
      <c r="C213" s="34">
        <v>20</v>
      </c>
      <c r="D213" s="34">
        <v>24</v>
      </c>
      <c r="E213" s="5">
        <f>D213/C213</f>
        <v>1.2</v>
      </c>
      <c r="F213" s="6">
        <v>11</v>
      </c>
      <c r="G213" s="34" t="s">
        <v>74</v>
      </c>
      <c r="H213" s="5">
        <v>2.9555555556000002</v>
      </c>
      <c r="I213" s="5">
        <v>8.6744186046999996</v>
      </c>
      <c r="J213" s="5">
        <v>6.6304766627631579</v>
      </c>
      <c r="K213" s="5">
        <v>3.84</v>
      </c>
      <c r="L213" s="5">
        <v>8.6744186046999996</v>
      </c>
      <c r="M213" s="5">
        <v>6.9684165364999995</v>
      </c>
      <c r="N213" s="5">
        <v>7.6</v>
      </c>
      <c r="O213" s="5">
        <v>8.2100000000000009</v>
      </c>
      <c r="P213" s="5">
        <v>950.13199999999995</v>
      </c>
      <c r="Q213" s="5">
        <v>888.41166666629999</v>
      </c>
      <c r="R213" s="5">
        <v>922.1244608678727</v>
      </c>
      <c r="S213" s="27"/>
    </row>
    <row r="214" spans="1:19" x14ac:dyDescent="0.3">
      <c r="A214" s="92" t="s">
        <v>21</v>
      </c>
      <c r="B214" s="93"/>
      <c r="C214" s="7">
        <f>SUM(C213)</f>
        <v>20</v>
      </c>
      <c r="D214" s="7">
        <f>SUM(D213)</f>
        <v>24</v>
      </c>
      <c r="E214" s="8">
        <f>D214/C214</f>
        <v>1.2</v>
      </c>
      <c r="F214" s="7">
        <f>SUM(F213)</f>
        <v>11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47"/>
      <c r="R214" s="7"/>
      <c r="S214" s="28"/>
    </row>
    <row r="216" spans="1:19" x14ac:dyDescent="0.3">
      <c r="A216" s="87" t="s">
        <v>0</v>
      </c>
      <c r="B216" s="95" t="s">
        <v>1</v>
      </c>
      <c r="C216" s="51" t="s">
        <v>28</v>
      </c>
      <c r="D216" s="52"/>
      <c r="E216" s="52"/>
      <c r="F216" s="52"/>
      <c r="G216" s="53"/>
      <c r="H216" s="67" t="s">
        <v>104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3" t="s">
        <v>75</v>
      </c>
    </row>
    <row r="217" spans="1:19" x14ac:dyDescent="0.3">
      <c r="A217" s="88"/>
      <c r="B217" s="96"/>
      <c r="C217" s="54"/>
      <c r="D217" s="55"/>
      <c r="E217" s="55"/>
      <c r="F217" s="55"/>
      <c r="G217" s="56"/>
      <c r="H217" s="83" t="s">
        <v>76</v>
      </c>
      <c r="I217" s="84"/>
      <c r="J217" s="85"/>
      <c r="K217" s="77" t="s">
        <v>77</v>
      </c>
      <c r="L217" s="78"/>
      <c r="M217" s="78"/>
      <c r="N217" s="78"/>
      <c r="O217" s="78"/>
      <c r="P217" s="78"/>
      <c r="Q217" s="78"/>
      <c r="R217" s="78"/>
      <c r="S217" s="63"/>
    </row>
    <row r="218" spans="1:19" ht="16.5" customHeight="1" x14ac:dyDescent="0.3">
      <c r="A218" s="88"/>
      <c r="B218" s="96"/>
      <c r="C218" s="70" t="s">
        <v>3</v>
      </c>
      <c r="D218" s="71"/>
      <c r="E218" s="72"/>
      <c r="F218" s="73" t="s">
        <v>4</v>
      </c>
      <c r="G218" s="75" t="s">
        <v>93</v>
      </c>
      <c r="H218" s="86" t="s">
        <v>66</v>
      </c>
      <c r="I218" s="86"/>
      <c r="J218" s="86"/>
      <c r="K218" s="82" t="s">
        <v>66</v>
      </c>
      <c r="L218" s="82"/>
      <c r="M218" s="82"/>
      <c r="N218" s="82"/>
      <c r="O218" s="82"/>
      <c r="P218" s="82" t="s">
        <v>65</v>
      </c>
      <c r="Q218" s="82"/>
      <c r="R218" s="82"/>
      <c r="S218" s="63"/>
    </row>
    <row r="219" spans="1:19" x14ac:dyDescent="0.3">
      <c r="A219" s="94"/>
      <c r="B219" s="97"/>
      <c r="C219" s="1" t="s">
        <v>5</v>
      </c>
      <c r="D219" s="1" t="s">
        <v>6</v>
      </c>
      <c r="E219" s="2" t="s">
        <v>7</v>
      </c>
      <c r="F219" s="74"/>
      <c r="G219" s="76"/>
      <c r="H219" s="22" t="s">
        <v>67</v>
      </c>
      <c r="I219" s="22" t="s">
        <v>64</v>
      </c>
      <c r="J219" s="22" t="s">
        <v>68</v>
      </c>
      <c r="K219" s="50" t="s">
        <v>67</v>
      </c>
      <c r="L219" s="50" t="s">
        <v>64</v>
      </c>
      <c r="M219" s="50" t="s">
        <v>68</v>
      </c>
      <c r="N219" s="50" t="s">
        <v>69</v>
      </c>
      <c r="O219" s="50" t="s">
        <v>70</v>
      </c>
      <c r="P219" s="50" t="s">
        <v>62</v>
      </c>
      <c r="Q219" s="50" t="s">
        <v>64</v>
      </c>
      <c r="R219" s="50" t="s">
        <v>63</v>
      </c>
      <c r="S219" s="63"/>
    </row>
    <row r="220" spans="1:19" x14ac:dyDescent="0.3">
      <c r="A220" s="115" t="s">
        <v>39</v>
      </c>
      <c r="B220" s="10" t="s">
        <v>80</v>
      </c>
      <c r="C220" s="4">
        <v>5</v>
      </c>
      <c r="D220" s="4">
        <v>9</v>
      </c>
      <c r="E220" s="5">
        <f>D220/C220</f>
        <v>1.8</v>
      </c>
      <c r="F220" s="6">
        <v>1</v>
      </c>
      <c r="G220" s="4">
        <v>1</v>
      </c>
      <c r="H220" s="5">
        <v>4.6279069767000003</v>
      </c>
      <c r="I220" s="5">
        <v>7.3333333332999997</v>
      </c>
      <c r="J220" s="5">
        <v>5.9939964736375</v>
      </c>
      <c r="K220" s="48"/>
      <c r="L220" s="48"/>
      <c r="M220" s="48"/>
      <c r="N220" s="48"/>
      <c r="O220" s="48"/>
      <c r="P220" s="48"/>
      <c r="Q220" s="48"/>
      <c r="R220" s="48"/>
      <c r="S220" s="27"/>
    </row>
    <row r="221" spans="1:19" x14ac:dyDescent="0.3">
      <c r="A221" s="116"/>
      <c r="B221" s="43" t="s">
        <v>87</v>
      </c>
      <c r="C221" s="34">
        <v>20</v>
      </c>
      <c r="D221" s="34">
        <v>43</v>
      </c>
      <c r="E221" s="5">
        <f>D221/C221</f>
        <v>2.15</v>
      </c>
      <c r="F221" s="6">
        <v>13</v>
      </c>
      <c r="G221" s="34">
        <v>3</v>
      </c>
      <c r="H221" s="5">
        <v>3.5</v>
      </c>
      <c r="I221" s="5">
        <v>8.7738095238000007</v>
      </c>
      <c r="J221" s="5">
        <v>7.1118645901394757</v>
      </c>
      <c r="K221" s="5">
        <v>3.5</v>
      </c>
      <c r="L221" s="5">
        <v>8.5</v>
      </c>
      <c r="M221" s="5">
        <v>6.8858623544384621</v>
      </c>
      <c r="N221" s="5">
        <v>7.93</v>
      </c>
      <c r="O221" s="5">
        <v>8.32</v>
      </c>
      <c r="P221" s="5">
        <v>977.6926470587</v>
      </c>
      <c r="Q221" s="5">
        <v>807.84624999990001</v>
      </c>
      <c r="R221" s="5">
        <v>933.31261674860787</v>
      </c>
      <c r="S221" s="27"/>
    </row>
    <row r="222" spans="1:19" x14ac:dyDescent="0.3">
      <c r="A222" s="92" t="s">
        <v>21</v>
      </c>
      <c r="B222" s="93"/>
      <c r="C222" s="7">
        <f>SUM(C220:C221)</f>
        <v>25</v>
      </c>
      <c r="D222" s="7">
        <f>SUM(D220:D221)</f>
        <v>52</v>
      </c>
      <c r="E222" s="8">
        <f>D222/C222</f>
        <v>2.08</v>
      </c>
      <c r="F222" s="45">
        <f>SUM(F220:F221)</f>
        <v>14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47"/>
      <c r="R222" s="7"/>
      <c r="S222" s="28"/>
    </row>
    <row r="224" spans="1:19" x14ac:dyDescent="0.3">
      <c r="A224" s="87" t="s">
        <v>0</v>
      </c>
      <c r="B224" s="95" t="s">
        <v>1</v>
      </c>
      <c r="C224" s="51" t="s">
        <v>85</v>
      </c>
      <c r="D224" s="52"/>
      <c r="E224" s="52"/>
      <c r="F224" s="52"/>
      <c r="G224" s="53"/>
      <c r="H224" s="67" t="s">
        <v>102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3" t="s">
        <v>75</v>
      </c>
    </row>
    <row r="225" spans="1:19" x14ac:dyDescent="0.3">
      <c r="A225" s="88"/>
      <c r="B225" s="96"/>
      <c r="C225" s="54"/>
      <c r="D225" s="55"/>
      <c r="E225" s="55"/>
      <c r="F225" s="55"/>
      <c r="G225" s="56"/>
      <c r="H225" s="83" t="s">
        <v>76</v>
      </c>
      <c r="I225" s="84"/>
      <c r="J225" s="85"/>
      <c r="K225" s="77" t="s">
        <v>77</v>
      </c>
      <c r="L225" s="78"/>
      <c r="M225" s="78"/>
      <c r="N225" s="78"/>
      <c r="O225" s="78"/>
      <c r="P225" s="78"/>
      <c r="Q225" s="78"/>
      <c r="R225" s="78"/>
      <c r="S225" s="63"/>
    </row>
    <row r="226" spans="1:19" ht="16.5" customHeight="1" x14ac:dyDescent="0.3">
      <c r="A226" s="88"/>
      <c r="B226" s="96"/>
      <c r="C226" s="70" t="s">
        <v>3</v>
      </c>
      <c r="D226" s="71"/>
      <c r="E226" s="72"/>
      <c r="F226" s="73" t="s">
        <v>4</v>
      </c>
      <c r="G226" s="75" t="s">
        <v>93</v>
      </c>
      <c r="H226" s="86" t="s">
        <v>66</v>
      </c>
      <c r="I226" s="86"/>
      <c r="J226" s="86"/>
      <c r="K226" s="82" t="s">
        <v>66</v>
      </c>
      <c r="L226" s="82"/>
      <c r="M226" s="82"/>
      <c r="N226" s="82"/>
      <c r="O226" s="82"/>
      <c r="P226" s="82" t="s">
        <v>65</v>
      </c>
      <c r="Q226" s="82"/>
      <c r="R226" s="82"/>
      <c r="S226" s="63"/>
    </row>
    <row r="227" spans="1:19" x14ac:dyDescent="0.3">
      <c r="A227" s="94"/>
      <c r="B227" s="97"/>
      <c r="C227" s="1" t="s">
        <v>5</v>
      </c>
      <c r="D227" s="1" t="s">
        <v>6</v>
      </c>
      <c r="E227" s="2" t="s">
        <v>7</v>
      </c>
      <c r="F227" s="74"/>
      <c r="G227" s="76"/>
      <c r="H227" s="38" t="s">
        <v>67</v>
      </c>
      <c r="I227" s="38" t="s">
        <v>64</v>
      </c>
      <c r="J227" s="38" t="s">
        <v>68</v>
      </c>
      <c r="K227" s="50" t="s">
        <v>67</v>
      </c>
      <c r="L227" s="50" t="s">
        <v>64</v>
      </c>
      <c r="M227" s="50" t="s">
        <v>68</v>
      </c>
      <c r="N227" s="50" t="s">
        <v>69</v>
      </c>
      <c r="O227" s="50" t="s">
        <v>70</v>
      </c>
      <c r="P227" s="50" t="s">
        <v>62</v>
      </c>
      <c r="Q227" s="50" t="s">
        <v>64</v>
      </c>
      <c r="R227" s="50" t="s">
        <v>63</v>
      </c>
      <c r="S227" s="63"/>
    </row>
    <row r="228" spans="1:19" ht="16.5" customHeight="1" x14ac:dyDescent="0.3">
      <c r="A228" s="117" t="s">
        <v>91</v>
      </c>
      <c r="B228" s="10" t="s">
        <v>90</v>
      </c>
      <c r="C228" s="4">
        <v>40</v>
      </c>
      <c r="D228" s="4">
        <v>3</v>
      </c>
      <c r="E228" s="5">
        <f>D228/C228</f>
        <v>7.4999999999999997E-2</v>
      </c>
      <c r="F228" s="6">
        <v>1</v>
      </c>
      <c r="G228" s="4" t="s">
        <v>74</v>
      </c>
      <c r="H228" s="46">
        <v>6.2946428571000004</v>
      </c>
      <c r="I228" s="46">
        <v>8.5277777778000008</v>
      </c>
      <c r="J228" s="46">
        <v>7.4512235449666671</v>
      </c>
      <c r="K228" s="48"/>
      <c r="L228" s="48"/>
      <c r="M228" s="48"/>
      <c r="N228" s="48"/>
      <c r="O228" s="48"/>
      <c r="P228" s="48"/>
      <c r="Q228" s="48"/>
      <c r="R228" s="48"/>
      <c r="S228" s="27"/>
    </row>
    <row r="229" spans="1:19" x14ac:dyDescent="0.3">
      <c r="A229" s="118"/>
      <c r="B229" s="10" t="s">
        <v>92</v>
      </c>
      <c r="C229" s="4">
        <v>39</v>
      </c>
      <c r="D229" s="20">
        <v>38</v>
      </c>
      <c r="E229" s="5">
        <f>D229/C229</f>
        <v>0.97435897435897434</v>
      </c>
      <c r="F229" s="6">
        <v>18</v>
      </c>
      <c r="G229" s="4" t="s">
        <v>74</v>
      </c>
      <c r="H229" s="46">
        <v>3.125</v>
      </c>
      <c r="I229" s="46">
        <v>8.6923076923</v>
      </c>
      <c r="J229" s="46">
        <v>5.4012298372733323</v>
      </c>
      <c r="K229" s="46">
        <v>3.8852459015999998</v>
      </c>
      <c r="L229" s="46">
        <v>6.5084745763000003</v>
      </c>
      <c r="M229" s="46">
        <v>5.4117347411333334</v>
      </c>
      <c r="N229" s="46">
        <v>5.59</v>
      </c>
      <c r="O229" s="46">
        <v>6.32</v>
      </c>
      <c r="P229" s="5">
        <v>914</v>
      </c>
      <c r="Q229" s="5">
        <v>718</v>
      </c>
      <c r="R229" s="5">
        <v>826.22</v>
      </c>
      <c r="S229" s="27"/>
    </row>
    <row r="230" spans="1:19" x14ac:dyDescent="0.3">
      <c r="A230" s="108" t="s">
        <v>21</v>
      </c>
      <c r="B230" s="109"/>
      <c r="C230" s="7">
        <f>SUM(C228:C229)</f>
        <v>79</v>
      </c>
      <c r="D230" s="7">
        <f>SUM(D228:D229)</f>
        <v>41</v>
      </c>
      <c r="E230" s="8">
        <f>D230/C230</f>
        <v>0.51898734177215189</v>
      </c>
      <c r="F230" s="7">
        <f>SUM(F228:F229)</f>
        <v>19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47"/>
      <c r="R230" s="7"/>
      <c r="S230" s="28"/>
    </row>
    <row r="232" spans="1:19" x14ac:dyDescent="0.3">
      <c r="A232" s="87" t="s">
        <v>0</v>
      </c>
      <c r="B232" s="95" t="s">
        <v>1</v>
      </c>
      <c r="C232" s="51" t="s">
        <v>83</v>
      </c>
      <c r="D232" s="52"/>
      <c r="E232" s="52"/>
      <c r="F232" s="52"/>
      <c r="G232" s="53"/>
      <c r="H232" s="67" t="s">
        <v>105</v>
      </c>
      <c r="I232" s="68"/>
      <c r="J232" s="69"/>
      <c r="K232" s="63" t="s">
        <v>75</v>
      </c>
      <c r="L232" s="63"/>
      <c r="M232" s="63"/>
      <c r="N232" s="63"/>
      <c r="O232" s="63"/>
      <c r="P232"/>
      <c r="R232"/>
      <c r="S232"/>
    </row>
    <row r="233" spans="1:19" x14ac:dyDescent="0.3">
      <c r="A233" s="88"/>
      <c r="B233" s="96"/>
      <c r="C233" s="54"/>
      <c r="D233" s="55"/>
      <c r="E233" s="55"/>
      <c r="F233" s="55"/>
      <c r="G233" s="56"/>
      <c r="H233" s="77" t="s">
        <v>77</v>
      </c>
      <c r="I233" s="78"/>
      <c r="J233" s="79"/>
      <c r="K233" s="63"/>
      <c r="L233" s="63"/>
      <c r="M233" s="63"/>
      <c r="N233" s="63"/>
      <c r="O233" s="63"/>
      <c r="P233"/>
      <c r="R233"/>
      <c r="S233"/>
    </row>
    <row r="234" spans="1:19" ht="16.5" customHeight="1" x14ac:dyDescent="0.3">
      <c r="A234" s="88"/>
      <c r="B234" s="96"/>
      <c r="C234" s="70" t="s">
        <v>3</v>
      </c>
      <c r="D234" s="71"/>
      <c r="E234" s="72"/>
      <c r="F234" s="73" t="s">
        <v>4</v>
      </c>
      <c r="G234" s="75" t="s">
        <v>93</v>
      </c>
      <c r="H234" s="64" t="s">
        <v>65</v>
      </c>
      <c r="I234" s="65"/>
      <c r="J234" s="66"/>
      <c r="K234" s="63"/>
      <c r="L234" s="63"/>
      <c r="M234" s="63"/>
      <c r="N234" s="63"/>
      <c r="O234" s="63"/>
      <c r="P234"/>
      <c r="R234"/>
      <c r="S234"/>
    </row>
    <row r="235" spans="1:19" x14ac:dyDescent="0.3">
      <c r="A235" s="94"/>
      <c r="B235" s="97"/>
      <c r="C235" s="1" t="s">
        <v>5</v>
      </c>
      <c r="D235" s="1" t="s">
        <v>6</v>
      </c>
      <c r="E235" s="2" t="s">
        <v>7</v>
      </c>
      <c r="F235" s="74"/>
      <c r="G235" s="76"/>
      <c r="H235" s="50" t="s">
        <v>62</v>
      </c>
      <c r="I235" s="50" t="s">
        <v>64</v>
      </c>
      <c r="J235" s="50" t="s">
        <v>63</v>
      </c>
      <c r="K235" s="63"/>
      <c r="L235" s="63"/>
      <c r="M235" s="63"/>
      <c r="N235" s="63"/>
      <c r="O235" s="63"/>
      <c r="P235"/>
      <c r="Q235"/>
      <c r="R235"/>
      <c r="S235"/>
    </row>
    <row r="236" spans="1:19" ht="16.5" customHeight="1" x14ac:dyDescent="0.3">
      <c r="A236" s="9" t="s">
        <v>59</v>
      </c>
      <c r="B236" s="10" t="s">
        <v>84</v>
      </c>
      <c r="C236" s="34">
        <v>48</v>
      </c>
      <c r="D236" s="34">
        <v>53</v>
      </c>
      <c r="E236" s="5">
        <f>D236/C236</f>
        <v>1.1041666666666667</v>
      </c>
      <c r="F236" s="6">
        <v>34</v>
      </c>
      <c r="G236" s="4" t="s">
        <v>74</v>
      </c>
      <c r="H236" s="5">
        <v>900</v>
      </c>
      <c r="I236" s="5">
        <v>515</v>
      </c>
      <c r="J236" s="5">
        <v>750.14705882352939</v>
      </c>
      <c r="K236" s="57" t="s">
        <v>99</v>
      </c>
      <c r="L236" s="58"/>
      <c r="M236" s="58"/>
      <c r="N236" s="58"/>
      <c r="O236" s="59"/>
      <c r="P236"/>
      <c r="Q236"/>
      <c r="R236"/>
      <c r="S236"/>
    </row>
    <row r="237" spans="1:19" x14ac:dyDescent="0.3">
      <c r="A237" s="92" t="s">
        <v>21</v>
      </c>
      <c r="B237" s="93"/>
      <c r="C237" s="23">
        <f>SUM(C236:C236)</f>
        <v>48</v>
      </c>
      <c r="D237" s="23">
        <f>SUM(D236:D236)</f>
        <v>53</v>
      </c>
      <c r="E237" s="44">
        <v>1.1041666666666667</v>
      </c>
      <c r="F237" s="23">
        <f>SUM(F236:F236)</f>
        <v>34</v>
      </c>
      <c r="G237" s="7"/>
      <c r="H237" s="7"/>
      <c r="I237" s="7"/>
      <c r="J237" s="7"/>
      <c r="K237" s="60"/>
      <c r="L237" s="61"/>
      <c r="M237" s="61"/>
      <c r="N237" s="61"/>
      <c r="O237" s="62"/>
      <c r="Q237"/>
      <c r="R237"/>
      <c r="S237"/>
    </row>
    <row r="239" spans="1:19" x14ac:dyDescent="0.3">
      <c r="A239" s="87" t="s">
        <v>0</v>
      </c>
      <c r="B239" s="95" t="s">
        <v>1</v>
      </c>
      <c r="C239" s="51" t="s">
        <v>57</v>
      </c>
      <c r="D239" s="52"/>
      <c r="E239" s="52"/>
      <c r="F239" s="52"/>
      <c r="G239" s="53"/>
      <c r="H239" s="67" t="s">
        <v>101</v>
      </c>
      <c r="I239" s="68"/>
      <c r="J239" s="69"/>
      <c r="K239" s="63" t="s">
        <v>75</v>
      </c>
      <c r="L239" s="63"/>
      <c r="M239" s="63"/>
      <c r="N239" s="63"/>
      <c r="O239" s="63"/>
      <c r="P239"/>
      <c r="Q239"/>
      <c r="R239"/>
      <c r="S239"/>
    </row>
    <row r="240" spans="1:19" x14ac:dyDescent="0.3">
      <c r="A240" s="88"/>
      <c r="B240" s="96"/>
      <c r="C240" s="54"/>
      <c r="D240" s="55"/>
      <c r="E240" s="55"/>
      <c r="F240" s="55"/>
      <c r="G240" s="56"/>
      <c r="H240" s="77" t="s">
        <v>77</v>
      </c>
      <c r="I240" s="78"/>
      <c r="J240" s="79"/>
      <c r="K240" s="63"/>
      <c r="L240" s="63"/>
      <c r="M240" s="63"/>
      <c r="N240" s="63"/>
      <c r="O240" s="63"/>
      <c r="P240"/>
      <c r="Q240"/>
      <c r="R240"/>
      <c r="S240"/>
    </row>
    <row r="241" spans="1:19" ht="16.5" customHeight="1" x14ac:dyDescent="0.3">
      <c r="A241" s="88"/>
      <c r="B241" s="96"/>
      <c r="C241" s="70" t="s">
        <v>3</v>
      </c>
      <c r="D241" s="71"/>
      <c r="E241" s="72"/>
      <c r="F241" s="73" t="s">
        <v>4</v>
      </c>
      <c r="G241" s="75" t="s">
        <v>93</v>
      </c>
      <c r="H241" s="64" t="s">
        <v>65</v>
      </c>
      <c r="I241" s="65"/>
      <c r="J241" s="66"/>
      <c r="K241" s="63"/>
      <c r="L241" s="63"/>
      <c r="M241" s="63"/>
      <c r="N241" s="63"/>
      <c r="O241" s="63"/>
      <c r="P241"/>
      <c r="Q241"/>
      <c r="S241"/>
    </row>
    <row r="242" spans="1:19" x14ac:dyDescent="0.3">
      <c r="A242" s="94"/>
      <c r="B242" s="97"/>
      <c r="C242" s="1" t="s">
        <v>5</v>
      </c>
      <c r="D242" s="1" t="s">
        <v>6</v>
      </c>
      <c r="E242" s="2" t="s">
        <v>7</v>
      </c>
      <c r="F242" s="74"/>
      <c r="G242" s="76"/>
      <c r="H242" s="50" t="s">
        <v>62</v>
      </c>
      <c r="I242" s="50" t="s">
        <v>64</v>
      </c>
      <c r="J242" s="50" t="s">
        <v>63</v>
      </c>
      <c r="K242" s="63"/>
      <c r="L242" s="63"/>
      <c r="M242" s="63"/>
      <c r="N242" s="63"/>
      <c r="O242" s="63"/>
      <c r="P242"/>
      <c r="Q242"/>
      <c r="S242"/>
    </row>
    <row r="243" spans="1:19" x14ac:dyDescent="0.3">
      <c r="A243" s="9" t="s">
        <v>59</v>
      </c>
      <c r="B243" s="10" t="s">
        <v>84</v>
      </c>
      <c r="C243" s="34">
        <v>9</v>
      </c>
      <c r="D243" s="34">
        <v>1</v>
      </c>
      <c r="E243" s="5">
        <f>D243/C243</f>
        <v>0.1111111111111111</v>
      </c>
      <c r="F243" s="6">
        <v>0</v>
      </c>
      <c r="G243" s="4" t="s">
        <v>74</v>
      </c>
      <c r="H243" s="48"/>
      <c r="I243" s="48"/>
      <c r="J243" s="48"/>
      <c r="K243" s="57" t="s">
        <v>95</v>
      </c>
      <c r="L243" s="58"/>
      <c r="M243" s="58"/>
      <c r="N243" s="58"/>
      <c r="O243" s="59"/>
      <c r="P243"/>
      <c r="Q243"/>
      <c r="R243"/>
      <c r="S243"/>
    </row>
    <row r="244" spans="1:19" x14ac:dyDescent="0.3">
      <c r="A244" s="110" t="s">
        <v>21</v>
      </c>
      <c r="B244" s="110"/>
      <c r="C244" s="7">
        <f>SUM(C243:C243)</f>
        <v>9</v>
      </c>
      <c r="D244" s="7">
        <f>SUM(D243:D243)</f>
        <v>1</v>
      </c>
      <c r="E244" s="8">
        <v>0.1111111111111111</v>
      </c>
      <c r="F244" s="7">
        <f>SUM(F243:F243)</f>
        <v>0</v>
      </c>
      <c r="G244" s="7"/>
      <c r="H244" s="7"/>
      <c r="I244" s="7"/>
      <c r="J244" s="7"/>
      <c r="K244" s="60"/>
      <c r="L244" s="61"/>
      <c r="M244" s="61"/>
      <c r="N244" s="61"/>
      <c r="O244" s="62"/>
      <c r="P244"/>
      <c r="Q244"/>
      <c r="R244"/>
      <c r="S244"/>
    </row>
    <row r="246" spans="1:19" x14ac:dyDescent="0.3">
      <c r="A246" s="87" t="s">
        <v>0</v>
      </c>
      <c r="B246" s="95" t="s">
        <v>1</v>
      </c>
      <c r="C246" s="51" t="s">
        <v>58</v>
      </c>
      <c r="D246" s="52"/>
      <c r="E246" s="52"/>
      <c r="F246" s="52"/>
      <c r="G246" s="53"/>
      <c r="H246" s="67" t="s">
        <v>101</v>
      </c>
      <c r="I246" s="68"/>
      <c r="J246" s="69"/>
      <c r="K246" s="63" t="s">
        <v>75</v>
      </c>
      <c r="L246" s="63"/>
      <c r="M246" s="63"/>
      <c r="N246" s="63"/>
      <c r="O246" s="63"/>
      <c r="P246"/>
      <c r="Q246"/>
      <c r="R246"/>
      <c r="S246"/>
    </row>
    <row r="247" spans="1:19" x14ac:dyDescent="0.3">
      <c r="A247" s="88"/>
      <c r="B247" s="96"/>
      <c r="C247" s="54"/>
      <c r="D247" s="55"/>
      <c r="E247" s="55"/>
      <c r="F247" s="55"/>
      <c r="G247" s="56"/>
      <c r="H247" s="77" t="s">
        <v>77</v>
      </c>
      <c r="I247" s="78"/>
      <c r="J247" s="79"/>
      <c r="K247" s="63"/>
      <c r="L247" s="63"/>
      <c r="M247" s="63"/>
      <c r="N247" s="63"/>
      <c r="O247" s="63"/>
      <c r="P247"/>
      <c r="Q247"/>
      <c r="R247"/>
      <c r="S247"/>
    </row>
    <row r="248" spans="1:19" ht="16.5" customHeight="1" x14ac:dyDescent="0.3">
      <c r="A248" s="88"/>
      <c r="B248" s="96"/>
      <c r="C248" s="70" t="s">
        <v>3</v>
      </c>
      <c r="D248" s="71"/>
      <c r="E248" s="72"/>
      <c r="F248" s="73" t="s">
        <v>4</v>
      </c>
      <c r="G248" s="75" t="s">
        <v>93</v>
      </c>
      <c r="H248" s="64" t="s">
        <v>65</v>
      </c>
      <c r="I248" s="65"/>
      <c r="J248" s="66"/>
      <c r="K248" s="63"/>
      <c r="L248" s="63"/>
      <c r="M248" s="63"/>
      <c r="N248" s="63"/>
      <c r="O248" s="63"/>
      <c r="P248"/>
      <c r="Q248"/>
      <c r="R248"/>
      <c r="S248"/>
    </row>
    <row r="249" spans="1:19" x14ac:dyDescent="0.3">
      <c r="A249" s="94"/>
      <c r="B249" s="97"/>
      <c r="C249" s="1" t="s">
        <v>5</v>
      </c>
      <c r="D249" s="1" t="s">
        <v>6</v>
      </c>
      <c r="E249" s="2" t="s">
        <v>7</v>
      </c>
      <c r="F249" s="74"/>
      <c r="G249" s="76"/>
      <c r="H249" s="50" t="s">
        <v>62</v>
      </c>
      <c r="I249" s="50" t="s">
        <v>64</v>
      </c>
      <c r="J249" s="50" t="s">
        <v>63</v>
      </c>
      <c r="K249" s="63"/>
      <c r="L249" s="63"/>
      <c r="M249" s="63"/>
      <c r="N249" s="63"/>
      <c r="O249" s="63"/>
      <c r="P249"/>
      <c r="Q249"/>
      <c r="R249"/>
      <c r="S249"/>
    </row>
    <row r="250" spans="1:19" ht="16.5" customHeight="1" x14ac:dyDescent="0.3">
      <c r="A250" s="9" t="s">
        <v>59</v>
      </c>
      <c r="B250" s="10" t="s">
        <v>84</v>
      </c>
      <c r="C250" s="34">
        <v>72</v>
      </c>
      <c r="D250" s="34">
        <v>41</v>
      </c>
      <c r="E250" s="5">
        <f>D250/C250</f>
        <v>0.56944444444444442</v>
      </c>
      <c r="F250" s="6">
        <v>23</v>
      </c>
      <c r="G250" s="6" t="s">
        <v>74</v>
      </c>
      <c r="H250" s="5">
        <v>770</v>
      </c>
      <c r="I250" s="5">
        <v>480</v>
      </c>
      <c r="J250" s="5">
        <v>638.04347826086962</v>
      </c>
      <c r="K250" s="57" t="s">
        <v>99</v>
      </c>
      <c r="L250" s="58"/>
      <c r="M250" s="58"/>
      <c r="N250" s="58"/>
      <c r="O250" s="59"/>
      <c r="P250"/>
      <c r="Q250"/>
      <c r="R250"/>
      <c r="S250"/>
    </row>
    <row r="251" spans="1:19" x14ac:dyDescent="0.3">
      <c r="A251" s="110" t="s">
        <v>21</v>
      </c>
      <c r="B251" s="110"/>
      <c r="C251" s="7">
        <f>SUM(C250:C250)</f>
        <v>72</v>
      </c>
      <c r="D251" s="7">
        <f>SUM(D250:D250)</f>
        <v>41</v>
      </c>
      <c r="E251" s="8">
        <v>0.56944444444444442</v>
      </c>
      <c r="F251" s="7">
        <f>SUM(F250:F250)</f>
        <v>23</v>
      </c>
      <c r="G251" s="7"/>
      <c r="H251" s="7"/>
      <c r="I251" s="7"/>
      <c r="J251" s="7"/>
      <c r="K251" s="60"/>
      <c r="L251" s="61"/>
      <c r="M251" s="61"/>
      <c r="N251" s="61"/>
      <c r="O251" s="62"/>
      <c r="P251"/>
      <c r="Q251"/>
      <c r="R251"/>
      <c r="S251"/>
    </row>
  </sheetData>
  <mergeCells count="253">
    <mergeCell ref="F124:F125"/>
    <mergeCell ref="C180:E180"/>
    <mergeCell ref="H191:R191"/>
    <mergeCell ref="S224:S227"/>
    <mergeCell ref="K225:R225"/>
    <mergeCell ref="K226:O226"/>
    <mergeCell ref="P226:R226"/>
    <mergeCell ref="G226:G227"/>
    <mergeCell ref="S216:S219"/>
    <mergeCell ref="H217:J217"/>
    <mergeCell ref="Q195:Q206"/>
    <mergeCell ref="S209:S212"/>
    <mergeCell ref="H210:J210"/>
    <mergeCell ref="K210:R210"/>
    <mergeCell ref="P218:R218"/>
    <mergeCell ref="H216:R216"/>
    <mergeCell ref="K218:O218"/>
    <mergeCell ref="S195:S206"/>
    <mergeCell ref="H122:R122"/>
    <mergeCell ref="H96:R96"/>
    <mergeCell ref="H89:R89"/>
    <mergeCell ref="C122:G123"/>
    <mergeCell ref="C96:G97"/>
    <mergeCell ref="C89:G90"/>
    <mergeCell ref="C91:E91"/>
    <mergeCell ref="F91:F92"/>
    <mergeCell ref="G91:G92"/>
    <mergeCell ref="F98:F99"/>
    <mergeCell ref="G98:G99"/>
    <mergeCell ref="C98:E98"/>
    <mergeCell ref="A65:A68"/>
    <mergeCell ref="A61:A64"/>
    <mergeCell ref="A58:A60"/>
    <mergeCell ref="A100:A102"/>
    <mergeCell ref="A173:A174"/>
    <mergeCell ref="A165:A171"/>
    <mergeCell ref="A163:A164"/>
    <mergeCell ref="A153:A162"/>
    <mergeCell ref="A149:A152"/>
    <mergeCell ref="A105:A107"/>
    <mergeCell ref="A103:A104"/>
    <mergeCell ref="A130:A133"/>
    <mergeCell ref="A116:A117"/>
    <mergeCell ref="A114:A115"/>
    <mergeCell ref="A108:A113"/>
    <mergeCell ref="A78:A83"/>
    <mergeCell ref="A76:A77"/>
    <mergeCell ref="A69:A75"/>
    <mergeCell ref="H54:R54"/>
    <mergeCell ref="H6:R6"/>
    <mergeCell ref="K138:R138"/>
    <mergeCell ref="H8:J8"/>
    <mergeCell ref="H138:J138"/>
    <mergeCell ref="K8:O8"/>
    <mergeCell ref="P8:R8"/>
    <mergeCell ref="K55:R55"/>
    <mergeCell ref="K56:O56"/>
    <mergeCell ref="P56:R56"/>
    <mergeCell ref="K90:R90"/>
    <mergeCell ref="K91:O91"/>
    <mergeCell ref="P91:R91"/>
    <mergeCell ref="K97:R97"/>
    <mergeCell ref="K98:O98"/>
    <mergeCell ref="P98:R98"/>
    <mergeCell ref="H131:J131"/>
    <mergeCell ref="K123:R123"/>
    <mergeCell ref="H123:J123"/>
    <mergeCell ref="K124:O124"/>
    <mergeCell ref="H97:J97"/>
    <mergeCell ref="P124:R124"/>
    <mergeCell ref="K131:R131"/>
    <mergeCell ref="K132:O132"/>
    <mergeCell ref="A49:A51"/>
    <mergeCell ref="A47:A48"/>
    <mergeCell ref="A41:A45"/>
    <mergeCell ref="A34:A40"/>
    <mergeCell ref="A32:A33"/>
    <mergeCell ref="A22:A31"/>
    <mergeCell ref="A18:A21"/>
    <mergeCell ref="A52:B52"/>
    <mergeCell ref="C54:G55"/>
    <mergeCell ref="A251:B251"/>
    <mergeCell ref="A122:A125"/>
    <mergeCell ref="B122:B125"/>
    <mergeCell ref="A178:A181"/>
    <mergeCell ref="B178:B181"/>
    <mergeCell ref="G139:G140"/>
    <mergeCell ref="C124:E124"/>
    <mergeCell ref="A244:B244"/>
    <mergeCell ref="A137:A140"/>
    <mergeCell ref="B137:B140"/>
    <mergeCell ref="C139:E139"/>
    <mergeCell ref="F139:F140"/>
    <mergeCell ref="B246:B249"/>
    <mergeCell ref="C248:E248"/>
    <mergeCell ref="F248:F249"/>
    <mergeCell ref="C216:G217"/>
    <mergeCell ref="A216:A219"/>
    <mergeCell ref="B216:B219"/>
    <mergeCell ref="A144:A148"/>
    <mergeCell ref="A141:A143"/>
    <mergeCell ref="A246:A249"/>
    <mergeCell ref="A214:B214"/>
    <mergeCell ref="A220:A221"/>
    <mergeCell ref="A228:A229"/>
    <mergeCell ref="A207:B207"/>
    <mergeCell ref="A222:B222"/>
    <mergeCell ref="A237:B237"/>
    <mergeCell ref="A232:A235"/>
    <mergeCell ref="B232:B235"/>
    <mergeCell ref="A85:A86"/>
    <mergeCell ref="A87:B87"/>
    <mergeCell ref="A94:B94"/>
    <mergeCell ref="A120:B120"/>
    <mergeCell ref="A128:B128"/>
    <mergeCell ref="A96:A99"/>
    <mergeCell ref="B96:B99"/>
    <mergeCell ref="A89:A92"/>
    <mergeCell ref="B89:B92"/>
    <mergeCell ref="B224:B227"/>
    <mergeCell ref="H241:J241"/>
    <mergeCell ref="F193:F194"/>
    <mergeCell ref="G193:G194"/>
    <mergeCell ref="H180:J180"/>
    <mergeCell ref="G124:G125"/>
    <mergeCell ref="A135:B135"/>
    <mergeCell ref="C132:E132"/>
    <mergeCell ref="C239:G240"/>
    <mergeCell ref="A239:A242"/>
    <mergeCell ref="B239:B242"/>
    <mergeCell ref="A183:A187"/>
    <mergeCell ref="C195:C206"/>
    <mergeCell ref="E195:E206"/>
    <mergeCell ref="A196:A198"/>
    <mergeCell ref="A202:A205"/>
    <mergeCell ref="A191:A194"/>
    <mergeCell ref="B191:B194"/>
    <mergeCell ref="C193:E193"/>
    <mergeCell ref="B130:B133"/>
    <mergeCell ref="A209:A212"/>
    <mergeCell ref="B209:B212"/>
    <mergeCell ref="C209:G210"/>
    <mergeCell ref="A224:A227"/>
    <mergeCell ref="A230:B230"/>
    <mergeCell ref="A1:S1"/>
    <mergeCell ref="H139:J139"/>
    <mergeCell ref="H193:J193"/>
    <mergeCell ref="K179:R179"/>
    <mergeCell ref="K180:O180"/>
    <mergeCell ref="P180:R180"/>
    <mergeCell ref="S6:S9"/>
    <mergeCell ref="S54:S57"/>
    <mergeCell ref="S89:S92"/>
    <mergeCell ref="S96:S99"/>
    <mergeCell ref="S122:S125"/>
    <mergeCell ref="S130:S133"/>
    <mergeCell ref="S178:S181"/>
    <mergeCell ref="S137:S140"/>
    <mergeCell ref="S191:S194"/>
    <mergeCell ref="K139:O139"/>
    <mergeCell ref="P139:R139"/>
    <mergeCell ref="H179:J179"/>
    <mergeCell ref="A189:B189"/>
    <mergeCell ref="A176:B176"/>
    <mergeCell ref="A6:A9"/>
    <mergeCell ref="H7:J7"/>
    <mergeCell ref="K7:R7"/>
    <mergeCell ref="H56:J56"/>
    <mergeCell ref="H91:J91"/>
    <mergeCell ref="H98:J98"/>
    <mergeCell ref="H124:J124"/>
    <mergeCell ref="H132:J132"/>
    <mergeCell ref="H130:R130"/>
    <mergeCell ref="P132:R132"/>
    <mergeCell ref="C130:G131"/>
    <mergeCell ref="H90:J90"/>
    <mergeCell ref="B6:B9"/>
    <mergeCell ref="C8:E8"/>
    <mergeCell ref="F8:F9"/>
    <mergeCell ref="G8:G9"/>
    <mergeCell ref="C6:G7"/>
    <mergeCell ref="A54:A57"/>
    <mergeCell ref="B54:B57"/>
    <mergeCell ref="C56:E56"/>
    <mergeCell ref="F56:F57"/>
    <mergeCell ref="G56:G57"/>
    <mergeCell ref="A10:A12"/>
    <mergeCell ref="A13:A17"/>
    <mergeCell ref="H226:J226"/>
    <mergeCell ref="H234:J234"/>
    <mergeCell ref="H232:J232"/>
    <mergeCell ref="H55:J55"/>
    <mergeCell ref="F180:F181"/>
    <mergeCell ref="F132:F133"/>
    <mergeCell ref="G132:G133"/>
    <mergeCell ref="G180:G181"/>
    <mergeCell ref="C178:G179"/>
    <mergeCell ref="C226:E226"/>
    <mergeCell ref="F226:F227"/>
    <mergeCell ref="C218:E218"/>
    <mergeCell ref="F218:F219"/>
    <mergeCell ref="G218:G219"/>
    <mergeCell ref="C224:G225"/>
    <mergeCell ref="H218:J218"/>
    <mergeCell ref="H195:H206"/>
    <mergeCell ref="I195:I206"/>
    <mergeCell ref="J195:J206"/>
    <mergeCell ref="H233:J233"/>
    <mergeCell ref="C211:E211"/>
    <mergeCell ref="F211:F212"/>
    <mergeCell ref="G211:G212"/>
    <mergeCell ref="H211:J211"/>
    <mergeCell ref="R195:R206"/>
    <mergeCell ref="K192:R192"/>
    <mergeCell ref="K193:O193"/>
    <mergeCell ref="P193:R193"/>
    <mergeCell ref="H137:R137"/>
    <mergeCell ref="H178:R178"/>
    <mergeCell ref="H192:J192"/>
    <mergeCell ref="H209:R209"/>
    <mergeCell ref="H225:J225"/>
    <mergeCell ref="H224:R224"/>
    <mergeCell ref="K195:K206"/>
    <mergeCell ref="L195:L206"/>
    <mergeCell ref="M195:M206"/>
    <mergeCell ref="N195:N206"/>
    <mergeCell ref="O195:O206"/>
    <mergeCell ref="K211:O211"/>
    <mergeCell ref="P211:R211"/>
    <mergeCell ref="C191:G192"/>
    <mergeCell ref="C137:G138"/>
    <mergeCell ref="K243:O244"/>
    <mergeCell ref="K250:O251"/>
    <mergeCell ref="K239:O242"/>
    <mergeCell ref="K246:O249"/>
    <mergeCell ref="H248:J248"/>
    <mergeCell ref="H246:J246"/>
    <mergeCell ref="H239:J239"/>
    <mergeCell ref="C241:E241"/>
    <mergeCell ref="F241:F242"/>
    <mergeCell ref="G241:G242"/>
    <mergeCell ref="C246:G247"/>
    <mergeCell ref="G248:G249"/>
    <mergeCell ref="H240:J240"/>
    <mergeCell ref="H247:J247"/>
    <mergeCell ref="C232:G233"/>
    <mergeCell ref="C234:E234"/>
    <mergeCell ref="F234:F235"/>
    <mergeCell ref="G234:G235"/>
    <mergeCell ref="K217:R217"/>
    <mergeCell ref="K236:O237"/>
    <mergeCell ref="K232:O235"/>
    <mergeCell ref="P195:P206"/>
  </mergeCells>
  <phoneticPr fontId="2" type="noConversion"/>
  <pageMargins left="0.25" right="0.25" top="0.75" bottom="0.75" header="0.3" footer="0.3"/>
  <pageSetup paperSize="9" scale="61" fitToHeight="0" orientation="landscape" verticalDpi="0" r:id="rId1"/>
  <rowBreaks count="6" manualBreakCount="6">
    <brk id="53" max="16383" man="1"/>
    <brk id="88" max="16383" man="1"/>
    <brk id="121" max="16383" man="1"/>
    <brk id="136" max="16383" man="1"/>
    <brk id="190" max="16383" man="1"/>
    <brk id="2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2025-06-11T00:14:43Z</cp:lastPrinted>
  <dcterms:created xsi:type="dcterms:W3CDTF">2024-03-08T01:03:58Z</dcterms:created>
  <dcterms:modified xsi:type="dcterms:W3CDTF">2026-03-12T03:15:17Z</dcterms:modified>
</cp:coreProperties>
</file>