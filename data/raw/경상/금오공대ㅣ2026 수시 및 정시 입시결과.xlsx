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대입 정보자료\2026학년도 대입 대학 입학 성적\"/>
    </mc:Choice>
  </mc:AlternateContent>
  <xr:revisionPtr revIDLastSave="0" documentId="8_{06C9DE10-5BA8-44B9-A4E9-DCB8E8C055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학생부교과전형" sheetId="1" r:id="rId1"/>
    <sheet name="학생부종합전형" sheetId="2" r:id="rId2"/>
    <sheet name="정시일반전형" sheetId="3" r:id="rId3"/>
  </sheets>
  <definedNames>
    <definedName name="_xlnm.Print_Titles" localSheetId="0">학생부교과전형!$4:$6</definedName>
    <definedName name="_xlnm.Print_Titles" localSheetId="1">학생부종합전형!$4:$6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7" i="3" l="1"/>
  <c r="Y60" i="1" l="1"/>
  <c r="Y59" i="1"/>
  <c r="Y57" i="1"/>
  <c r="Y53" i="1"/>
  <c r="Y52" i="1"/>
  <c r="Y49" i="1"/>
  <c r="Y48" i="1"/>
  <c r="Y45" i="1"/>
  <c r="Y40" i="1"/>
  <c r="Y36" i="1"/>
  <c r="X60" i="1"/>
  <c r="X59" i="1"/>
  <c r="X58" i="1"/>
  <c r="X57" i="1"/>
  <c r="X53" i="1"/>
  <c r="X52" i="1"/>
  <c r="X49" i="1"/>
  <c r="X48" i="1"/>
  <c r="X45" i="1"/>
  <c r="X44" i="1"/>
  <c r="X40" i="1"/>
  <c r="X36" i="1"/>
  <c r="Y11" i="1"/>
  <c r="Y15" i="1"/>
  <c r="Y16" i="1"/>
  <c r="Y19" i="1"/>
  <c r="Y22" i="1"/>
  <c r="Y23" i="1"/>
  <c r="Y26" i="1"/>
  <c r="Y27" i="1"/>
  <c r="Y31" i="1"/>
  <c r="Y32" i="1"/>
  <c r="Y33" i="1"/>
  <c r="Y34" i="1"/>
  <c r="Y35" i="1"/>
  <c r="Y7" i="1"/>
  <c r="X35" i="1"/>
  <c r="X34" i="1"/>
  <c r="X33" i="1"/>
  <c r="X32" i="1"/>
  <c r="X31" i="1"/>
  <c r="X27" i="1"/>
  <c r="X26" i="1"/>
  <c r="X23" i="1"/>
  <c r="X22" i="1"/>
  <c r="X19" i="1"/>
  <c r="X16" i="1"/>
  <c r="X15" i="1"/>
  <c r="X11" i="1"/>
  <c r="X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충족인원은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최초합격자를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충원합격자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예비후보자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인원</t>
        </r>
      </text>
    </comment>
  </commentList>
</comments>
</file>

<file path=xl/sharedStrings.xml><?xml version="1.0" encoding="utf-8"?>
<sst xmlns="http://schemas.openxmlformats.org/spreadsheetml/2006/main" count="418" uniqueCount="89">
  <si>
    <t>모집단위</t>
  </si>
  <si>
    <t>지원 및 합격 현황</t>
    <phoneticPr fontId="2" type="noConversion"/>
  </si>
  <si>
    <t>최저기준통과</t>
    <phoneticPr fontId="2" type="noConversion"/>
  </si>
  <si>
    <t>입학자
학생부 등급</t>
    <phoneticPr fontId="2" type="noConversion"/>
  </si>
  <si>
    <t>모집
인원</t>
    <phoneticPr fontId="2" type="noConversion"/>
  </si>
  <si>
    <t>지원
인원</t>
    <phoneticPr fontId="2" type="noConversion"/>
  </si>
  <si>
    <t>경쟁률</t>
    <phoneticPr fontId="2" type="noConversion"/>
  </si>
  <si>
    <t>추합
최종
번호</t>
    <phoneticPr fontId="2" type="noConversion"/>
  </si>
  <si>
    <t>실질
경쟁률</t>
    <phoneticPr fontId="2" type="noConversion"/>
  </si>
  <si>
    <t>평균</t>
    <phoneticPr fontId="2" type="noConversion"/>
  </si>
  <si>
    <t>입학자
환산총점</t>
    <phoneticPr fontId="2" type="noConversion"/>
  </si>
  <si>
    <t>전형명</t>
    <phoneticPr fontId="2" type="noConversion"/>
  </si>
  <si>
    <t>기계공학과</t>
    <phoneticPr fontId="2" type="noConversion"/>
  </si>
  <si>
    <t>기계설계공학과</t>
    <phoneticPr fontId="2" type="noConversion"/>
  </si>
  <si>
    <t>건축학부</t>
    <phoneticPr fontId="2" type="noConversion"/>
  </si>
  <si>
    <t>신소재공학부</t>
    <phoneticPr fontId="2" type="noConversion"/>
  </si>
  <si>
    <t>토목공학과</t>
    <phoneticPr fontId="2" type="noConversion"/>
  </si>
  <si>
    <t>컴퓨터공학과</t>
    <phoneticPr fontId="2" type="noConversion"/>
  </si>
  <si>
    <t>컴퓨터소프트웨어공학과</t>
    <phoneticPr fontId="2" type="noConversion"/>
  </si>
  <si>
    <t>환경공학과</t>
    <phoneticPr fontId="2" type="noConversion"/>
  </si>
  <si>
    <t>화학생명과학과</t>
    <phoneticPr fontId="2" type="noConversion"/>
  </si>
  <si>
    <t>수리빅데이터학과</t>
    <phoneticPr fontId="2" type="noConversion"/>
  </si>
  <si>
    <t>일반학생</t>
    <phoneticPr fontId="2" type="noConversion"/>
  </si>
  <si>
    <t>KIT인재</t>
    <phoneticPr fontId="2" type="noConversion"/>
  </si>
  <si>
    <t>수능반영유형</t>
  </si>
  <si>
    <t>만점</t>
  </si>
  <si>
    <t>평균</t>
  </si>
  <si>
    <t>표준
편차</t>
  </si>
  <si>
    <t>표준
편차</t>
    <phoneticPr fontId="2" type="noConversion"/>
  </si>
  <si>
    <t>정시모집 일반학생전형</t>
    <phoneticPr fontId="2" type="noConversion"/>
  </si>
  <si>
    <t>수시모집 학생부교과전형</t>
    <phoneticPr fontId="2" type="noConversion"/>
  </si>
  <si>
    <t>수시모집 학생부종합전형</t>
    <phoneticPr fontId="2" type="noConversion"/>
  </si>
  <si>
    <t>등록
인원</t>
    <phoneticPr fontId="2" type="noConversion"/>
  </si>
  <si>
    <t>고분자공학과</t>
  </si>
  <si>
    <t>고분자공학과</t>
    <phoneticPr fontId="2" type="noConversion"/>
  </si>
  <si>
    <t>소재디자인공학과</t>
  </si>
  <si>
    <t>소재디자인공학과</t>
    <phoneticPr fontId="2" type="noConversion"/>
  </si>
  <si>
    <t>화학공학과</t>
  </si>
  <si>
    <t>화학공학과</t>
    <phoneticPr fontId="2" type="noConversion"/>
  </si>
  <si>
    <t>충족
인원</t>
    <phoneticPr fontId="2" type="noConversion"/>
  </si>
  <si>
    <t>충족
인원 중
후보자
합격
비율</t>
    <phoneticPr fontId="2" type="noConversion"/>
  </si>
  <si>
    <t>충족
인원
평균
성적</t>
    <phoneticPr fontId="2" type="noConversion"/>
  </si>
  <si>
    <t>등록자없음</t>
    <phoneticPr fontId="2" type="noConversion"/>
  </si>
  <si>
    <t>입학자 환산 총점(3과목)</t>
    <phoneticPr fontId="2" type="noConversion"/>
  </si>
  <si>
    <t>2024학년도</t>
    <phoneticPr fontId="2" type="noConversion"/>
  </si>
  <si>
    <t>기계시스템공학부</t>
    <phoneticPr fontId="2" type="noConversion"/>
  </si>
  <si>
    <t>산업공학과</t>
    <phoneticPr fontId="2" type="noConversion"/>
  </si>
  <si>
    <t>후보없음</t>
    <phoneticPr fontId="2" type="noConversion"/>
  </si>
  <si>
    <t>2024학년도 인원 현황</t>
    <phoneticPr fontId="2" type="noConversion"/>
  </si>
  <si>
    <t>2025학년도</t>
    <phoneticPr fontId="2" type="noConversion"/>
  </si>
  <si>
    <t>건축토목환경공학부</t>
    <phoneticPr fontId="2" type="noConversion"/>
  </si>
  <si>
    <t>기계공학부</t>
    <phoneticPr fontId="2" type="noConversion"/>
  </si>
  <si>
    <t>기계공학부스마트모빌리티전공</t>
    <phoneticPr fontId="2" type="noConversion"/>
  </si>
  <si>
    <t>산업·빅데이터공학부</t>
    <phoneticPr fontId="2" type="noConversion"/>
  </si>
  <si>
    <t>재료공학부</t>
    <phoneticPr fontId="2" type="noConversion"/>
  </si>
  <si>
    <t>전자공학부</t>
    <phoneticPr fontId="2" type="noConversion"/>
  </si>
  <si>
    <t>컴퓨터공학부</t>
    <phoneticPr fontId="2" type="noConversion"/>
  </si>
  <si>
    <t>컴퓨터공학부인공지능공학전공</t>
    <phoneticPr fontId="2" type="noConversion"/>
  </si>
  <si>
    <t>화학소재공학부</t>
    <phoneticPr fontId="2" type="noConversion"/>
  </si>
  <si>
    <t>광시스템공학과</t>
    <phoneticPr fontId="2" type="noConversion"/>
  </si>
  <si>
    <t>바이오메디컬공학과</t>
    <phoneticPr fontId="2" type="noConversion"/>
  </si>
  <si>
    <t>경영학과</t>
    <phoneticPr fontId="2" type="noConversion"/>
  </si>
  <si>
    <t>자율전공학부</t>
    <phoneticPr fontId="2" type="noConversion"/>
  </si>
  <si>
    <t>전체</t>
    <phoneticPr fontId="2" type="noConversion"/>
  </si>
  <si>
    <t>학생부교과</t>
    <phoneticPr fontId="2" type="noConversion"/>
  </si>
  <si>
    <t>지역인재</t>
    <phoneticPr fontId="2" type="noConversion"/>
  </si>
  <si>
    <t>후보없음</t>
    <phoneticPr fontId="2" type="noConversion"/>
  </si>
  <si>
    <t>고른기회</t>
    <phoneticPr fontId="2" type="noConversion"/>
  </si>
  <si>
    <t>농어촌학생</t>
    <phoneticPr fontId="2" type="noConversion"/>
  </si>
  <si>
    <t>상위3</t>
    <phoneticPr fontId="2" type="noConversion"/>
  </si>
  <si>
    <t>2025학년도 인원 현황</t>
    <phoneticPr fontId="2" type="noConversion"/>
  </si>
  <si>
    <t>입학자 백분위 평균(3과목)</t>
    <phoneticPr fontId="2" type="noConversion"/>
  </si>
  <si>
    <t>나</t>
    <phoneticPr fontId="2" type="noConversion"/>
  </si>
  <si>
    <t>가</t>
    <phoneticPr fontId="2" type="noConversion"/>
  </si>
  <si>
    <t>다</t>
    <phoneticPr fontId="2" type="noConversion"/>
  </si>
  <si>
    <t>입학자 등급(상위3과목)</t>
    <phoneticPr fontId="2" type="noConversion"/>
  </si>
  <si>
    <t>입학자 환산 총점(상위3과목)</t>
    <phoneticPr fontId="2" type="noConversion"/>
  </si>
  <si>
    <t>입학자 등급(상위3과목)</t>
  </si>
  <si>
    <t>※ 수능등급: 국어, 영어, 수학, 탐구(상위 1과목) 중 상위 3개 영역의 등급평균</t>
    <phoneticPr fontId="2" type="noConversion"/>
  </si>
  <si>
    <t>※ 백분위 평균: 국어, 수학, 탐구(상위 1과목)영역 백분위의 평균</t>
    <phoneticPr fontId="2" type="noConversion"/>
  </si>
  <si>
    <t>2026학년도</t>
    <phoneticPr fontId="2" type="noConversion"/>
  </si>
  <si>
    <t>2026
모집군</t>
    <phoneticPr fontId="2" type="noConversion"/>
  </si>
  <si>
    <t>2026학년도 인원 현황</t>
    <phoneticPr fontId="2" type="noConversion"/>
  </si>
  <si>
    <t>※ 2026학년도의 모집인원은 2026년 2월 기준으로 등록금 납부 후 수시모집 이월인원을 모두 포함한 인원이며 경쟁률은 2025. 12월 기준으로 수시모집 합격등록 마감 후 이월인원 포함 기준으로 산출된 것임</t>
    <phoneticPr fontId="2" type="noConversion"/>
  </si>
  <si>
    <t>자율전공학부</t>
    <phoneticPr fontId="2" type="noConversion"/>
  </si>
  <si>
    <t>※ 2026학년도 성적반영방법 변경으로 2024, 2025학년도 성적 미제공</t>
    <phoneticPr fontId="2" type="noConversion"/>
  </si>
  <si>
    <t>※ 2026학년도 학생부환산총점 및 학생부 등급 반영방법: 공통/일반선택과목은 반영교과별 상위 3과목, 진로선택과목은 국어/수학/영어/과학/사회 중 상위 3과목 반영</t>
    <phoneticPr fontId="2" type="noConversion"/>
  </si>
  <si>
    <t>특성화고교출신자</t>
    <phoneticPr fontId="2" type="noConversion"/>
  </si>
  <si>
    <t>※ 학생부등급은 반영교과의 전과목(진로선택미반영)을 반영하였음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</si>
</sst>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7" x14ac:knownFonts="1">
    <font>
      <sz val="11"/>
      <color theme="1"/>
      <name val="맑은 고딕"/>
      <family val="2"/>
      <charset val="129"/>
      <scheme val="minor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57">
    <xf numFmtId="0" fontId="0" fillId="0" borderId="0" xfId="0">
      <alignment vertical="center"/>
    </xf>
    <xf numFmtId="0" fontId="6" fillId="0" borderId="0" xfId="0" applyFont="1" applyAlignment="1">
      <alignment vertical="center"/>
    </xf>
    <xf numFmtId="0" fontId="7" fillId="0" borderId="13" xfId="0" applyFont="1" applyBorder="1">
      <alignment vertical="center"/>
    </xf>
    <xf numFmtId="0" fontId="7" fillId="0" borderId="3" xfId="0" applyFont="1" applyBorder="1">
      <alignment vertical="center"/>
    </xf>
    <xf numFmtId="2" fontId="7" fillId="0" borderId="3" xfId="0" applyNumberFormat="1" applyFont="1" applyBorder="1">
      <alignment vertical="center"/>
    </xf>
    <xf numFmtId="0" fontId="7" fillId="0" borderId="8" xfId="0" applyFont="1" applyBorder="1">
      <alignment vertical="center"/>
    </xf>
    <xf numFmtId="0" fontId="7" fillId="0" borderId="6" xfId="0" applyFont="1" applyBorder="1">
      <alignment vertical="center"/>
    </xf>
    <xf numFmtId="2" fontId="7" fillId="0" borderId="6" xfId="0" applyNumberFormat="1" applyFont="1" applyBorder="1">
      <alignment vertical="center"/>
    </xf>
    <xf numFmtId="0" fontId="7" fillId="0" borderId="14" xfId="0" applyFont="1" applyBorder="1">
      <alignment vertical="center"/>
    </xf>
    <xf numFmtId="0" fontId="7" fillId="0" borderId="15" xfId="0" applyFont="1" applyBorder="1">
      <alignment vertical="center"/>
    </xf>
    <xf numFmtId="2" fontId="7" fillId="0" borderId="15" xfId="0" applyNumberFormat="1" applyFont="1" applyBorder="1">
      <alignment vertical="center"/>
    </xf>
    <xf numFmtId="0" fontId="7" fillId="0" borderId="3" xfId="0" applyFont="1" applyFill="1" applyBorder="1">
      <alignment vertical="center"/>
    </xf>
    <xf numFmtId="2" fontId="7" fillId="0" borderId="3" xfId="0" applyNumberFormat="1" applyFont="1" applyFill="1" applyBorder="1">
      <alignment vertical="center"/>
    </xf>
    <xf numFmtId="2" fontId="7" fillId="0" borderId="6" xfId="0" applyNumberFormat="1" applyFont="1" applyFill="1" applyBorder="1">
      <alignment vertical="center"/>
    </xf>
    <xf numFmtId="0" fontId="7" fillId="0" borderId="6" xfId="0" applyFont="1" applyFill="1" applyBorder="1">
      <alignment vertical="center"/>
    </xf>
    <xf numFmtId="0" fontId="0" fillId="0" borderId="25" xfId="0" applyBorder="1">
      <alignment vertical="center"/>
    </xf>
    <xf numFmtId="0" fontId="7" fillId="0" borderId="8" xfId="0" applyFont="1" applyFill="1" applyBorder="1">
      <alignment vertical="center"/>
    </xf>
    <xf numFmtId="0" fontId="6" fillId="0" borderId="0" xfId="0" applyFont="1" applyAlignment="1">
      <alignment horizontal="left" vertical="center"/>
    </xf>
    <xf numFmtId="176" fontId="7" fillId="0" borderId="3" xfId="0" applyNumberFormat="1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2" fontId="7" fillId="0" borderId="3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13" xfId="0" applyFont="1" applyFill="1" applyBorder="1">
      <alignment vertical="center"/>
    </xf>
    <xf numFmtId="0" fontId="5" fillId="0" borderId="3" xfId="0" applyFont="1" applyBorder="1">
      <alignment vertical="center"/>
    </xf>
    <xf numFmtId="2" fontId="5" fillId="0" borderId="3" xfId="0" applyNumberFormat="1" applyFont="1" applyBorder="1">
      <alignment vertical="center"/>
    </xf>
    <xf numFmtId="2" fontId="5" fillId="0" borderId="4" xfId="0" applyNumberFormat="1" applyFont="1" applyBorder="1">
      <alignment vertical="center"/>
    </xf>
    <xf numFmtId="176" fontId="7" fillId="0" borderId="3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0" fillId="0" borderId="0" xfId="0" applyFill="1">
      <alignment vertical="center"/>
    </xf>
    <xf numFmtId="0" fontId="9" fillId="0" borderId="10" xfId="1" applyFont="1" applyFill="1" applyBorder="1" applyAlignment="1">
      <alignment horizontal="center" vertical="center"/>
    </xf>
    <xf numFmtId="0" fontId="9" fillId="0" borderId="13" xfId="1" applyFont="1" applyFill="1" applyBorder="1" applyAlignment="1">
      <alignment horizontal="center" vertical="center" wrapText="1"/>
    </xf>
    <xf numFmtId="0" fontId="9" fillId="0" borderId="3" xfId="1" applyFont="1" applyFill="1" applyBorder="1" applyAlignment="1">
      <alignment horizontal="center" vertical="center" wrapText="1"/>
    </xf>
    <xf numFmtId="2" fontId="9" fillId="0" borderId="3" xfId="1" applyNumberFormat="1" applyFont="1" applyFill="1" applyBorder="1" applyAlignment="1">
      <alignment horizontal="center" vertical="center"/>
    </xf>
    <xf numFmtId="2" fontId="9" fillId="0" borderId="3" xfId="1" applyNumberFormat="1" applyFont="1" applyFill="1" applyBorder="1" applyAlignment="1">
      <alignment horizontal="center" vertical="center" wrapText="1"/>
    </xf>
    <xf numFmtId="176" fontId="9" fillId="0" borderId="3" xfId="1" applyNumberFormat="1" applyFont="1" applyFill="1" applyBorder="1" applyAlignment="1">
      <alignment horizontal="center" vertical="center" wrapText="1"/>
    </xf>
    <xf numFmtId="2" fontId="9" fillId="0" borderId="4" xfId="1" applyNumberFormat="1" applyFont="1" applyFill="1" applyBorder="1" applyAlignment="1">
      <alignment horizontal="center" vertical="center"/>
    </xf>
    <xf numFmtId="2" fontId="7" fillId="0" borderId="3" xfId="0" applyNumberFormat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 shrinkToFit="1"/>
    </xf>
    <xf numFmtId="176" fontId="9" fillId="0" borderId="3" xfId="1" applyNumberFormat="1" applyFont="1" applyFill="1" applyBorder="1" applyAlignment="1">
      <alignment horizontal="center" vertical="center" shrinkToFit="1"/>
    </xf>
    <xf numFmtId="2" fontId="9" fillId="0" borderId="3" xfId="1" applyNumberFormat="1" applyFont="1" applyFill="1" applyBorder="1" applyAlignment="1">
      <alignment horizontal="center" vertical="center" shrinkToFit="1"/>
    </xf>
    <xf numFmtId="0" fontId="9" fillId="0" borderId="10" xfId="1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9" fillId="0" borderId="10" xfId="1" applyFont="1" applyFill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1" xfId="0" applyFont="1" applyBorder="1" applyAlignment="1">
      <alignment horizontal="left" vertical="center"/>
    </xf>
    <xf numFmtId="0" fontId="9" fillId="0" borderId="20" xfId="1" applyFont="1" applyFill="1" applyBorder="1" applyAlignment="1">
      <alignment horizontal="left" vertical="center"/>
    </xf>
    <xf numFmtId="0" fontId="9" fillId="0" borderId="18" xfId="1" applyFont="1" applyFill="1" applyBorder="1" applyAlignment="1">
      <alignment horizontal="center" vertical="center" wrapText="1"/>
    </xf>
    <xf numFmtId="2" fontId="9" fillId="0" borderId="18" xfId="1" applyNumberFormat="1" applyFont="1" applyFill="1" applyBorder="1" applyAlignment="1">
      <alignment horizontal="center" vertical="center"/>
    </xf>
    <xf numFmtId="2" fontId="9" fillId="0" borderId="18" xfId="1" applyNumberFormat="1" applyFont="1" applyFill="1" applyBorder="1" applyAlignment="1">
      <alignment horizontal="center" vertical="center" wrapText="1"/>
    </xf>
    <xf numFmtId="0" fontId="9" fillId="0" borderId="9" xfId="1" applyFont="1" applyFill="1" applyBorder="1" applyAlignment="1">
      <alignment horizontal="left" vertical="center"/>
    </xf>
    <xf numFmtId="0" fontId="9" fillId="0" borderId="1" xfId="1" applyFont="1" applyFill="1" applyBorder="1" applyAlignment="1">
      <alignment horizontal="center" vertical="center" wrapText="1"/>
    </xf>
    <xf numFmtId="2" fontId="9" fillId="0" borderId="1" xfId="1" applyNumberFormat="1" applyFont="1" applyFill="1" applyBorder="1" applyAlignment="1">
      <alignment horizontal="center" vertical="center"/>
    </xf>
    <xf numFmtId="2" fontId="9" fillId="0" borderId="1" xfId="1" applyNumberFormat="1" applyFont="1" applyFill="1" applyBorder="1" applyAlignment="1">
      <alignment horizontal="center" vertical="center" wrapText="1"/>
    </xf>
    <xf numFmtId="2" fontId="7" fillId="0" borderId="1" xfId="0" applyNumberFormat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left" vertical="center"/>
    </xf>
    <xf numFmtId="0" fontId="9" fillId="0" borderId="6" xfId="1" applyFont="1" applyFill="1" applyBorder="1" applyAlignment="1">
      <alignment horizontal="center" vertical="center" wrapText="1"/>
    </xf>
    <xf numFmtId="2" fontId="9" fillId="0" borderId="6" xfId="1" applyNumberFormat="1" applyFont="1" applyFill="1" applyBorder="1" applyAlignment="1">
      <alignment horizontal="center" vertical="center"/>
    </xf>
    <xf numFmtId="2" fontId="9" fillId="0" borderId="6" xfId="1" applyNumberFormat="1" applyFont="1" applyFill="1" applyBorder="1" applyAlignment="1">
      <alignment horizontal="center" vertical="center" wrapText="1"/>
    </xf>
    <xf numFmtId="2" fontId="7" fillId="0" borderId="6" xfId="0" applyNumberFormat="1" applyFont="1" applyFill="1" applyBorder="1" applyAlignment="1">
      <alignment horizontal="center" vertical="center"/>
    </xf>
    <xf numFmtId="176" fontId="9" fillId="0" borderId="18" xfId="1" applyNumberFormat="1" applyFont="1" applyFill="1" applyBorder="1" applyAlignment="1">
      <alignment horizontal="center" vertical="center" wrapText="1"/>
    </xf>
    <xf numFmtId="0" fontId="9" fillId="0" borderId="9" xfId="1" applyFont="1" applyFill="1" applyBorder="1" applyAlignment="1">
      <alignment vertical="center"/>
    </xf>
    <xf numFmtId="176" fontId="9" fillId="0" borderId="1" xfId="1" applyNumberFormat="1" applyFont="1" applyFill="1" applyBorder="1" applyAlignment="1">
      <alignment horizontal="center" vertical="center" wrapText="1"/>
    </xf>
    <xf numFmtId="2" fontId="9" fillId="0" borderId="2" xfId="1" applyNumberFormat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vertical="center"/>
    </xf>
    <xf numFmtId="176" fontId="9" fillId="0" borderId="6" xfId="1" applyNumberFormat="1" applyFont="1" applyFill="1" applyBorder="1" applyAlignment="1">
      <alignment horizontal="center" vertical="center" wrapText="1"/>
    </xf>
    <xf numFmtId="0" fontId="9" fillId="0" borderId="17" xfId="1" applyFont="1" applyFill="1" applyBorder="1" applyAlignment="1">
      <alignment horizontal="center" vertical="center" wrapText="1"/>
    </xf>
    <xf numFmtId="0" fontId="9" fillId="0" borderId="12" xfId="1" applyFont="1" applyFill="1" applyBorder="1" applyAlignment="1">
      <alignment horizontal="center" vertical="center" wrapText="1"/>
    </xf>
    <xf numFmtId="0" fontId="9" fillId="0" borderId="8" xfId="1" applyFont="1" applyFill="1" applyBorder="1" applyAlignment="1">
      <alignment horizontal="center" vertical="center" wrapText="1"/>
    </xf>
    <xf numFmtId="0" fontId="10" fillId="0" borderId="6" xfId="1" applyFont="1" applyFill="1" applyBorder="1" applyAlignment="1">
      <alignment horizontal="center" vertical="center" wrapText="1"/>
    </xf>
    <xf numFmtId="0" fontId="10" fillId="0" borderId="6" xfId="1" applyFont="1" applyFill="1" applyBorder="1" applyAlignment="1">
      <alignment horizontal="center" vertical="center"/>
    </xf>
    <xf numFmtId="0" fontId="5" fillId="0" borderId="6" xfId="0" applyFont="1" applyBorder="1">
      <alignment vertical="center"/>
    </xf>
    <xf numFmtId="2" fontId="5" fillId="0" borderId="6" xfId="0" applyNumberFormat="1" applyFont="1" applyBorder="1">
      <alignment vertical="center"/>
    </xf>
    <xf numFmtId="0" fontId="11" fillId="0" borderId="0" xfId="0" applyFont="1" applyFill="1">
      <alignment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9" fillId="0" borderId="6" xfId="1" applyFont="1" applyFill="1" applyBorder="1" applyAlignment="1">
      <alignment horizontal="left" vertical="center"/>
    </xf>
    <xf numFmtId="0" fontId="9" fillId="0" borderId="6" xfId="1" applyFont="1" applyFill="1" applyBorder="1" applyAlignment="1">
      <alignment horizontal="center" vertical="center"/>
    </xf>
    <xf numFmtId="2" fontId="7" fillId="0" borderId="4" xfId="0" applyNumberFormat="1" applyFont="1" applyBorder="1" applyAlignment="1">
      <alignment horizontal="right" vertical="center"/>
    </xf>
    <xf numFmtId="0" fontId="10" fillId="0" borderId="8" xfId="1" applyFont="1" applyFill="1" applyBorder="1" applyAlignment="1">
      <alignment horizontal="center" vertical="center" wrapText="1"/>
    </xf>
    <xf numFmtId="0" fontId="9" fillId="0" borderId="11" xfId="1" applyFont="1" applyFill="1" applyBorder="1" applyAlignment="1">
      <alignment horizontal="center" vertical="center"/>
    </xf>
    <xf numFmtId="0" fontId="9" fillId="0" borderId="13" xfId="1" applyFont="1" applyFill="1" applyBorder="1" applyAlignment="1">
      <alignment horizontal="right" vertical="center"/>
    </xf>
    <xf numFmtId="0" fontId="9" fillId="0" borderId="3" xfId="1" applyFont="1" applyFill="1" applyBorder="1" applyAlignment="1">
      <alignment horizontal="right" vertical="center"/>
    </xf>
    <xf numFmtId="2" fontId="9" fillId="0" borderId="3" xfId="1" applyNumberFormat="1" applyFont="1" applyFill="1" applyBorder="1" applyAlignment="1">
      <alignment horizontal="right" vertical="center"/>
    </xf>
    <xf numFmtId="176" fontId="9" fillId="0" borderId="3" xfId="1" applyNumberFormat="1" applyFont="1" applyFill="1" applyBorder="1" applyAlignment="1">
      <alignment horizontal="right" vertical="center"/>
    </xf>
    <xf numFmtId="1" fontId="9" fillId="0" borderId="3" xfId="1" applyNumberFormat="1" applyFont="1" applyFill="1" applyBorder="1" applyAlignment="1">
      <alignment horizontal="right" vertical="center"/>
    </xf>
    <xf numFmtId="2" fontId="9" fillId="0" borderId="4" xfId="1" applyNumberFormat="1" applyFont="1" applyFill="1" applyBorder="1" applyAlignment="1">
      <alignment horizontal="right" vertical="center"/>
    </xf>
    <xf numFmtId="0" fontId="9" fillId="0" borderId="8" xfId="1" applyFont="1" applyFill="1" applyBorder="1" applyAlignment="1">
      <alignment horizontal="right" vertical="center"/>
    </xf>
    <xf numFmtId="0" fontId="9" fillId="0" borderId="6" xfId="1" applyFont="1" applyFill="1" applyBorder="1" applyAlignment="1">
      <alignment horizontal="right" vertical="center"/>
    </xf>
    <xf numFmtId="2" fontId="9" fillId="0" borderId="6" xfId="1" applyNumberFormat="1" applyFont="1" applyFill="1" applyBorder="1" applyAlignment="1">
      <alignment horizontal="right" vertical="center"/>
    </xf>
    <xf numFmtId="176" fontId="9" fillId="0" borderId="6" xfId="1" applyNumberFormat="1" applyFont="1" applyFill="1" applyBorder="1" applyAlignment="1">
      <alignment horizontal="right" vertical="center"/>
    </xf>
    <xf numFmtId="1" fontId="9" fillId="0" borderId="6" xfId="1" applyNumberFormat="1" applyFont="1" applyFill="1" applyBorder="1" applyAlignment="1">
      <alignment horizontal="right" vertical="center"/>
    </xf>
    <xf numFmtId="176" fontId="10" fillId="0" borderId="6" xfId="1" applyNumberFormat="1" applyFont="1" applyFill="1" applyBorder="1" applyAlignment="1">
      <alignment horizontal="right" vertical="center" wrapText="1"/>
    </xf>
    <xf numFmtId="0" fontId="12" fillId="0" borderId="0" xfId="0" applyFont="1">
      <alignment vertical="center"/>
    </xf>
    <xf numFmtId="2" fontId="5" fillId="0" borderId="3" xfId="0" applyNumberFormat="1" applyFont="1" applyFill="1" applyBorder="1">
      <alignment vertical="center"/>
    </xf>
    <xf numFmtId="2" fontId="5" fillId="0" borderId="4" xfId="0" applyNumberFormat="1" applyFont="1" applyFill="1" applyBorder="1">
      <alignment vertical="center"/>
    </xf>
    <xf numFmtId="0" fontId="9" fillId="0" borderId="3" xfId="1" applyFont="1" applyFill="1" applyBorder="1" applyAlignment="1">
      <alignment horizontal="right" vertical="center" wrapText="1"/>
    </xf>
    <xf numFmtId="2" fontId="9" fillId="0" borderId="3" xfId="1" applyNumberFormat="1" applyFont="1" applyFill="1" applyBorder="1" applyAlignment="1">
      <alignment horizontal="right" vertical="center" wrapText="1"/>
    </xf>
    <xf numFmtId="2" fontId="9" fillId="0" borderId="10" xfId="1" applyNumberFormat="1" applyFont="1" applyFill="1" applyBorder="1" applyAlignment="1">
      <alignment horizontal="right" vertical="center"/>
    </xf>
    <xf numFmtId="0" fontId="9" fillId="0" borderId="6" xfId="1" applyFont="1" applyFill="1" applyBorder="1" applyAlignment="1">
      <alignment horizontal="right" vertical="center" wrapText="1"/>
    </xf>
    <xf numFmtId="2" fontId="9" fillId="0" borderId="6" xfId="1" applyNumberFormat="1" applyFont="1" applyFill="1" applyBorder="1" applyAlignment="1">
      <alignment horizontal="right" vertical="center" wrapText="1"/>
    </xf>
    <xf numFmtId="0" fontId="13" fillId="0" borderId="0" xfId="0" applyFont="1" applyFill="1">
      <alignment vertical="center"/>
    </xf>
    <xf numFmtId="2" fontId="10" fillId="0" borderId="6" xfId="1" applyNumberFormat="1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6" fillId="0" borderId="0" xfId="0" applyFont="1" applyAlignment="1">
      <alignment horizontal="left" vertical="center"/>
    </xf>
    <xf numFmtId="0" fontId="9" fillId="0" borderId="18" xfId="1" applyFont="1" applyFill="1" applyBorder="1" applyAlignment="1">
      <alignment horizontal="right" vertical="center" wrapText="1"/>
    </xf>
    <xf numFmtId="2" fontId="9" fillId="0" borderId="18" xfId="1" applyNumberFormat="1" applyFont="1" applyFill="1" applyBorder="1" applyAlignment="1">
      <alignment horizontal="right" vertical="center"/>
    </xf>
    <xf numFmtId="2" fontId="9" fillId="0" borderId="18" xfId="1" applyNumberFormat="1" applyFont="1" applyFill="1" applyBorder="1" applyAlignment="1">
      <alignment horizontal="right" vertical="center" wrapText="1"/>
    </xf>
    <xf numFmtId="2" fontId="9" fillId="0" borderId="19" xfId="1" applyNumberFormat="1" applyFont="1" applyFill="1" applyBorder="1" applyAlignment="1">
      <alignment horizontal="right"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0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2" fontId="9" fillId="0" borderId="15" xfId="1" applyNumberFormat="1" applyFont="1" applyFill="1" applyBorder="1" applyAlignment="1">
      <alignment horizontal="center" vertical="center" wrapText="1"/>
    </xf>
    <xf numFmtId="176" fontId="7" fillId="0" borderId="4" xfId="0" applyNumberFormat="1" applyFont="1" applyBorder="1">
      <alignment vertical="center"/>
    </xf>
    <xf numFmtId="176" fontId="7" fillId="0" borderId="7" xfId="0" applyNumberFormat="1" applyFont="1" applyBorder="1">
      <alignment vertical="center"/>
    </xf>
    <xf numFmtId="176" fontId="7" fillId="0" borderId="16" xfId="0" applyNumberFormat="1" applyFont="1" applyBorder="1">
      <alignment vertical="center"/>
    </xf>
    <xf numFmtId="176" fontId="7" fillId="0" borderId="4" xfId="0" applyNumberFormat="1" applyFont="1" applyBorder="1" applyAlignment="1">
      <alignment horizontal="center" vertical="center" shrinkToFit="1"/>
    </xf>
    <xf numFmtId="176" fontId="7" fillId="0" borderId="4" xfId="0" applyNumberFormat="1" applyFont="1" applyBorder="1" applyAlignment="1">
      <alignment horizontal="right" vertical="center" shrinkToFit="1"/>
    </xf>
    <xf numFmtId="0" fontId="9" fillId="0" borderId="5" xfId="1" applyFont="1" applyFill="1" applyBorder="1" applyAlignment="1">
      <alignment horizontal="right" vertical="center" wrapText="1"/>
    </xf>
    <xf numFmtId="0" fontId="9" fillId="0" borderId="35" xfId="1" applyFont="1" applyFill="1" applyBorder="1" applyAlignment="1">
      <alignment horizontal="right" vertical="center" wrapText="1"/>
    </xf>
    <xf numFmtId="0" fontId="9" fillId="0" borderId="13" xfId="1" applyFont="1" applyFill="1" applyBorder="1" applyAlignment="1">
      <alignment horizontal="right" vertical="center" wrapText="1"/>
    </xf>
    <xf numFmtId="0" fontId="9" fillId="0" borderId="8" xfId="1" applyFont="1" applyFill="1" applyBorder="1" applyAlignment="1">
      <alignment horizontal="right" vertical="center" wrapText="1"/>
    </xf>
    <xf numFmtId="0" fontId="9" fillId="0" borderId="17" xfId="1" applyFont="1" applyFill="1" applyBorder="1" applyAlignment="1">
      <alignment horizontal="right" vertical="center" wrapText="1"/>
    </xf>
    <xf numFmtId="0" fontId="3" fillId="3" borderId="13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9" fontId="3" fillId="3" borderId="3" xfId="1" applyNumberFormat="1" applyFont="1" applyFill="1" applyBorder="1" applyAlignment="1">
      <alignment horizontal="center" vertical="center"/>
    </xf>
    <xf numFmtId="9" fontId="3" fillId="3" borderId="4" xfId="1" applyNumberFormat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7" fillId="3" borderId="13" xfId="0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7" fillId="3" borderId="4" xfId="0" applyFont="1" applyFill="1" applyBorder="1">
      <alignment vertical="center"/>
    </xf>
    <xf numFmtId="0" fontId="10" fillId="3" borderId="13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 wrapText="1"/>
    </xf>
    <xf numFmtId="2" fontId="7" fillId="3" borderId="3" xfId="0" applyNumberFormat="1" applyFont="1" applyFill="1" applyBorder="1">
      <alignment vertical="center"/>
    </xf>
    <xf numFmtId="176" fontId="7" fillId="3" borderId="4" xfId="0" applyNumberFormat="1" applyFont="1" applyFill="1" applyBorder="1">
      <alignment vertical="center"/>
    </xf>
    <xf numFmtId="0" fontId="9" fillId="3" borderId="13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2" fontId="9" fillId="3" borderId="3" xfId="1" applyNumberFormat="1" applyFont="1" applyFill="1" applyBorder="1" applyAlignment="1">
      <alignment horizontal="center" vertical="center"/>
    </xf>
    <xf numFmtId="2" fontId="9" fillId="3" borderId="3" xfId="1" applyNumberFormat="1" applyFont="1" applyFill="1" applyBorder="1" applyAlignment="1">
      <alignment horizontal="center" vertical="center" wrapText="1"/>
    </xf>
    <xf numFmtId="176" fontId="9" fillId="3" borderId="3" xfId="1" applyNumberFormat="1" applyFont="1" applyFill="1" applyBorder="1" applyAlignment="1">
      <alignment horizontal="center" vertical="center" wrapText="1"/>
    </xf>
    <xf numFmtId="2" fontId="9" fillId="3" borderId="4" xfId="1" applyNumberFormat="1" applyFont="1" applyFill="1" applyBorder="1" applyAlignment="1">
      <alignment horizontal="center" vertical="center"/>
    </xf>
    <xf numFmtId="2" fontId="7" fillId="3" borderId="3" xfId="0" applyNumberFormat="1" applyFont="1" applyFill="1" applyBorder="1" applyAlignment="1">
      <alignment horizontal="center" vertical="center"/>
    </xf>
    <xf numFmtId="2" fontId="9" fillId="3" borderId="6" xfId="1" applyNumberFormat="1" applyFont="1" applyFill="1" applyBorder="1" applyAlignment="1">
      <alignment horizontal="center" vertical="center"/>
    </xf>
    <xf numFmtId="2" fontId="9" fillId="3" borderId="7" xfId="1" applyNumberFormat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 wrapText="1"/>
    </xf>
    <xf numFmtId="2" fontId="9" fillId="3" borderId="1" xfId="1" applyNumberFormat="1" applyFont="1" applyFill="1" applyBorder="1" applyAlignment="1">
      <alignment horizontal="center" vertical="center" wrapText="1"/>
    </xf>
    <xf numFmtId="176" fontId="9" fillId="3" borderId="1" xfId="1" applyNumberFormat="1" applyFont="1" applyFill="1" applyBorder="1" applyAlignment="1">
      <alignment horizontal="center" vertical="center" wrapText="1"/>
    </xf>
    <xf numFmtId="2" fontId="9" fillId="3" borderId="1" xfId="1" applyNumberFormat="1" applyFont="1" applyFill="1" applyBorder="1" applyAlignment="1">
      <alignment horizontal="center" vertical="center"/>
    </xf>
    <xf numFmtId="2" fontId="9" fillId="3" borderId="2" xfId="1" applyNumberFormat="1" applyFont="1" applyFill="1" applyBorder="1" applyAlignment="1">
      <alignment horizontal="center" vertical="center"/>
    </xf>
    <xf numFmtId="0" fontId="7" fillId="3" borderId="15" xfId="0" applyFont="1" applyFill="1" applyBorder="1">
      <alignment vertical="center"/>
    </xf>
    <xf numFmtId="0" fontId="7" fillId="3" borderId="16" xfId="0" applyFont="1" applyFill="1" applyBorder="1">
      <alignment vertical="center"/>
    </xf>
    <xf numFmtId="0" fontId="9" fillId="3" borderId="6" xfId="1" applyFont="1" applyFill="1" applyBorder="1" applyAlignment="1">
      <alignment horizontal="center" vertical="center" wrapText="1"/>
    </xf>
    <xf numFmtId="2" fontId="9" fillId="3" borderId="6" xfId="1" applyNumberFormat="1" applyFont="1" applyFill="1" applyBorder="1" applyAlignment="1">
      <alignment horizontal="center" vertical="center" wrapText="1"/>
    </xf>
    <xf numFmtId="176" fontId="9" fillId="3" borderId="6" xfId="1" applyNumberFormat="1" applyFont="1" applyFill="1" applyBorder="1" applyAlignment="1">
      <alignment horizontal="center" vertical="center" wrapText="1"/>
    </xf>
    <xf numFmtId="0" fontId="7" fillId="3" borderId="6" xfId="0" applyFont="1" applyFill="1" applyBorder="1">
      <alignment vertical="center"/>
    </xf>
    <xf numFmtId="0" fontId="7" fillId="3" borderId="7" xfId="0" applyFont="1" applyFill="1" applyBorder="1">
      <alignment vertical="center"/>
    </xf>
    <xf numFmtId="0" fontId="3" fillId="3" borderId="5" xfId="1" applyFont="1" applyFill="1" applyBorder="1" applyAlignment="1">
      <alignment horizontal="center" vertical="center" wrapText="1"/>
    </xf>
    <xf numFmtId="9" fontId="3" fillId="3" borderId="10" xfId="1" applyNumberFormat="1" applyFont="1" applyFill="1" applyBorder="1" applyAlignment="1">
      <alignment horizontal="center" vertical="center"/>
    </xf>
    <xf numFmtId="9" fontId="10" fillId="3" borderId="4" xfId="1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right" vertical="center"/>
    </xf>
    <xf numFmtId="2" fontId="7" fillId="3" borderId="3" xfId="0" applyNumberFormat="1" applyFont="1" applyFill="1" applyBorder="1" applyAlignment="1">
      <alignment horizontal="right" vertical="center"/>
    </xf>
    <xf numFmtId="0" fontId="7" fillId="3" borderId="4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right" vertical="center"/>
    </xf>
    <xf numFmtId="0" fontId="7" fillId="3" borderId="10" xfId="0" applyFont="1" applyFill="1" applyBorder="1" applyAlignment="1">
      <alignment horizontal="right" vertical="center"/>
    </xf>
    <xf numFmtId="0" fontId="5" fillId="3" borderId="3" xfId="0" applyFont="1" applyFill="1" applyBorder="1">
      <alignment vertical="center"/>
    </xf>
    <xf numFmtId="2" fontId="5" fillId="3" borderId="3" xfId="0" applyNumberFormat="1" applyFont="1" applyFill="1" applyBorder="1">
      <alignment vertical="center"/>
    </xf>
    <xf numFmtId="2" fontId="5" fillId="3" borderId="4" xfId="0" applyNumberFormat="1" applyFont="1" applyFill="1" applyBorder="1">
      <alignment vertical="center"/>
    </xf>
    <xf numFmtId="0" fontId="9" fillId="3" borderId="13" xfId="1" applyFont="1" applyFill="1" applyBorder="1" applyAlignment="1">
      <alignment horizontal="right" vertical="center" wrapText="1"/>
    </xf>
    <xf numFmtId="0" fontId="9" fillId="3" borderId="3" xfId="1" applyFont="1" applyFill="1" applyBorder="1" applyAlignment="1">
      <alignment horizontal="right" vertical="center" wrapText="1"/>
    </xf>
    <xf numFmtId="2" fontId="9" fillId="3" borderId="3" xfId="1" applyNumberFormat="1" applyFont="1" applyFill="1" applyBorder="1" applyAlignment="1">
      <alignment horizontal="right" vertical="center"/>
    </xf>
    <xf numFmtId="2" fontId="9" fillId="3" borderId="3" xfId="1" applyNumberFormat="1" applyFont="1" applyFill="1" applyBorder="1" applyAlignment="1">
      <alignment horizontal="right" vertical="center" wrapText="1"/>
    </xf>
    <xf numFmtId="2" fontId="9" fillId="3" borderId="4" xfId="1" applyNumberFormat="1" applyFont="1" applyFill="1" applyBorder="1" applyAlignment="1">
      <alignment horizontal="right" vertical="center"/>
    </xf>
    <xf numFmtId="2" fontId="9" fillId="3" borderId="7" xfId="1" applyNumberFormat="1" applyFont="1" applyFill="1" applyBorder="1" applyAlignment="1">
      <alignment horizontal="right" vertical="center"/>
    </xf>
    <xf numFmtId="2" fontId="9" fillId="3" borderId="11" xfId="1" applyNumberFormat="1" applyFont="1" applyFill="1" applyBorder="1" applyAlignment="1">
      <alignment horizontal="right" vertical="center"/>
    </xf>
    <xf numFmtId="2" fontId="5" fillId="3" borderId="7" xfId="0" applyNumberFormat="1" applyFont="1" applyFill="1" applyBorder="1">
      <alignment vertical="center"/>
    </xf>
    <xf numFmtId="0" fontId="9" fillId="3" borderId="12" xfId="1" applyFont="1" applyFill="1" applyBorder="1" applyAlignment="1">
      <alignment horizontal="right" vertical="center" wrapText="1"/>
    </xf>
    <xf numFmtId="0" fontId="9" fillId="3" borderId="1" xfId="1" applyFont="1" applyFill="1" applyBorder="1" applyAlignment="1">
      <alignment horizontal="right" vertical="center" wrapText="1"/>
    </xf>
    <xf numFmtId="2" fontId="9" fillId="3" borderId="1" xfId="1" applyNumberFormat="1" applyFont="1" applyFill="1" applyBorder="1" applyAlignment="1">
      <alignment horizontal="right" vertical="center"/>
    </xf>
    <xf numFmtId="2" fontId="9" fillId="3" borderId="1" xfId="1" applyNumberFormat="1" applyFont="1" applyFill="1" applyBorder="1" applyAlignment="1">
      <alignment horizontal="right" vertical="center" wrapText="1"/>
    </xf>
    <xf numFmtId="2" fontId="9" fillId="3" borderId="2" xfId="1" applyNumberFormat="1" applyFont="1" applyFill="1" applyBorder="1" applyAlignment="1">
      <alignment horizontal="right" vertical="center"/>
    </xf>
    <xf numFmtId="2" fontId="9" fillId="3" borderId="18" xfId="1" applyNumberFormat="1" applyFont="1" applyFill="1" applyBorder="1" applyAlignment="1">
      <alignment horizontal="center" vertical="center"/>
    </xf>
    <xf numFmtId="2" fontId="9" fillId="3" borderId="19" xfId="1" applyNumberFormat="1" applyFont="1" applyFill="1" applyBorder="1" applyAlignment="1">
      <alignment horizontal="center" vertical="center"/>
    </xf>
    <xf numFmtId="9" fontId="3" fillId="3" borderId="3" xfId="1" applyNumberFormat="1" applyFont="1" applyFill="1" applyBorder="1" applyAlignment="1">
      <alignment horizontal="center" vertical="center" wrapText="1"/>
    </xf>
    <xf numFmtId="9" fontId="3" fillId="3" borderId="4" xfId="1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10" xfId="1" applyFont="1" applyFill="1" applyBorder="1" applyAlignment="1">
      <alignment horizontal="center" vertical="center"/>
    </xf>
    <xf numFmtId="176" fontId="7" fillId="3" borderId="3" xfId="0" applyNumberFormat="1" applyFont="1" applyFill="1" applyBorder="1" applyAlignment="1">
      <alignment horizontal="right" vertical="center"/>
    </xf>
    <xf numFmtId="1" fontId="7" fillId="3" borderId="3" xfId="0" applyNumberFormat="1" applyFont="1" applyFill="1" applyBorder="1" applyAlignment="1">
      <alignment horizontal="right" vertical="center"/>
    </xf>
    <xf numFmtId="0" fontId="9" fillId="3" borderId="13" xfId="1" applyFont="1" applyFill="1" applyBorder="1" applyAlignment="1">
      <alignment horizontal="right" vertical="center"/>
    </xf>
    <xf numFmtId="0" fontId="9" fillId="3" borderId="3" xfId="1" applyFont="1" applyFill="1" applyBorder="1" applyAlignment="1">
      <alignment horizontal="right" vertical="center"/>
    </xf>
    <xf numFmtId="176" fontId="9" fillId="3" borderId="3" xfId="1" applyNumberFormat="1" applyFont="1" applyFill="1" applyBorder="1" applyAlignment="1">
      <alignment horizontal="right" vertical="center"/>
    </xf>
    <xf numFmtId="176" fontId="9" fillId="3" borderId="6" xfId="1" applyNumberFormat="1" applyFont="1" applyFill="1" applyBorder="1" applyAlignment="1">
      <alignment horizontal="right" vertical="center"/>
    </xf>
    <xf numFmtId="2" fontId="9" fillId="3" borderId="6" xfId="1" applyNumberFormat="1" applyFont="1" applyFill="1" applyBorder="1" applyAlignment="1">
      <alignment horizontal="right" vertical="center"/>
    </xf>
    <xf numFmtId="9" fontId="10" fillId="3" borderId="3" xfId="1" applyNumberFormat="1" applyFont="1" applyFill="1" applyBorder="1" applyAlignment="1">
      <alignment horizontal="center" vertical="center" wrapText="1"/>
    </xf>
    <xf numFmtId="9" fontId="10" fillId="3" borderId="4" xfId="1" applyNumberFormat="1" applyFont="1" applyFill="1" applyBorder="1" applyAlignment="1">
      <alignment horizontal="center" vertical="center" wrapText="1"/>
    </xf>
    <xf numFmtId="2" fontId="7" fillId="3" borderId="4" xfId="0" applyNumberFormat="1" applyFont="1" applyFill="1" applyBorder="1" applyAlignment="1">
      <alignment horizontal="right" vertical="center"/>
    </xf>
    <xf numFmtId="9" fontId="10" fillId="3" borderId="6" xfId="1" applyNumberFormat="1" applyFont="1" applyFill="1" applyBorder="1" applyAlignment="1">
      <alignment horizontal="center" vertical="center" wrapText="1"/>
    </xf>
    <xf numFmtId="9" fontId="10" fillId="3" borderId="7" xfId="1" applyNumberFormat="1" applyFont="1" applyFill="1" applyBorder="1" applyAlignment="1">
      <alignment horizontal="center" vertical="center" wrapText="1"/>
    </xf>
    <xf numFmtId="176" fontId="16" fillId="0" borderId="3" xfId="1" applyNumberFormat="1" applyFont="1" applyFill="1" applyBorder="1" applyAlignment="1">
      <alignment horizontal="right" vertical="center"/>
    </xf>
    <xf numFmtId="0" fontId="16" fillId="0" borderId="18" xfId="1" applyFont="1" applyFill="1" applyBorder="1" applyAlignment="1">
      <alignment horizontal="center" vertical="center" wrapText="1"/>
    </xf>
    <xf numFmtId="0" fontId="16" fillId="0" borderId="3" xfId="1" applyFont="1" applyFill="1" applyBorder="1" applyAlignment="1">
      <alignment horizontal="center" vertical="center" wrapText="1"/>
    </xf>
    <xf numFmtId="2" fontId="16" fillId="0" borderId="3" xfId="1" applyNumberFormat="1" applyFont="1" applyFill="1" applyBorder="1" applyAlignment="1">
      <alignment horizontal="center" vertical="center" wrapText="1"/>
    </xf>
    <xf numFmtId="2" fontId="16" fillId="0" borderId="6" xfId="1" applyNumberFormat="1" applyFont="1" applyFill="1" applyBorder="1" applyAlignment="1">
      <alignment horizontal="center" vertical="center" wrapText="1"/>
    </xf>
    <xf numFmtId="2" fontId="16" fillId="0" borderId="18" xfId="1" applyNumberFormat="1" applyFont="1" applyFill="1" applyBorder="1" applyAlignment="1">
      <alignment horizontal="center" vertical="center" wrapText="1"/>
    </xf>
    <xf numFmtId="176" fontId="16" fillId="0" borderId="3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76" fontId="16" fillId="0" borderId="3" xfId="1" applyNumberFormat="1" applyFont="1" applyFill="1" applyBorder="1" applyAlignment="1">
      <alignment horizontal="center" vertical="center" shrinkToFit="1"/>
    </xf>
    <xf numFmtId="176" fontId="16" fillId="0" borderId="6" xfId="1" applyNumberFormat="1" applyFont="1" applyFill="1" applyBorder="1" applyAlignment="1">
      <alignment horizontal="center" vertical="center" wrapText="1"/>
    </xf>
    <xf numFmtId="0" fontId="9" fillId="0" borderId="24" xfId="1" applyFont="1" applyFill="1" applyBorder="1" applyAlignment="1">
      <alignment horizontal="center" vertical="center"/>
    </xf>
    <xf numFmtId="0" fontId="9" fillId="0" borderId="22" xfId="1" applyFont="1" applyFill="1" applyBorder="1" applyAlignment="1">
      <alignment horizontal="center" vertical="center"/>
    </xf>
    <xf numFmtId="0" fontId="9" fillId="0" borderId="23" xfId="1" applyFont="1" applyFill="1" applyBorder="1" applyAlignment="1">
      <alignment horizontal="center" vertical="center"/>
    </xf>
    <xf numFmtId="0" fontId="9" fillId="0" borderId="17" xfId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9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45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6" sqref="A6"/>
      <selection pane="bottomRight" sqref="A1:AG1"/>
    </sheetView>
  </sheetViews>
  <sheetFormatPr defaultRowHeight="16.5" x14ac:dyDescent="0.3"/>
  <cols>
    <col min="1" max="1" width="14" bestFit="1" customWidth="1"/>
    <col min="2" max="2" width="32.125" bestFit="1" customWidth="1"/>
    <col min="3" max="33" width="5.75" customWidth="1"/>
  </cols>
  <sheetData>
    <row r="1" spans="1:33" ht="31.5" x14ac:dyDescent="0.3">
      <c r="A1" s="223" t="s">
        <v>30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</row>
    <row r="2" spans="1:33" x14ac:dyDescent="0.3">
      <c r="A2" s="95" t="s">
        <v>85</v>
      </c>
    </row>
    <row r="3" spans="1:33" ht="17.25" thickBot="1" x14ac:dyDescent="0.35">
      <c r="A3" s="95" t="s">
        <v>86</v>
      </c>
    </row>
    <row r="4" spans="1:33" x14ac:dyDescent="0.3">
      <c r="A4" s="224" t="s">
        <v>11</v>
      </c>
      <c r="B4" s="226" t="s">
        <v>0</v>
      </c>
      <c r="C4" s="228" t="s">
        <v>80</v>
      </c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30"/>
      <c r="R4" s="228" t="s">
        <v>49</v>
      </c>
      <c r="S4" s="229"/>
      <c r="T4" s="229"/>
      <c r="U4" s="229"/>
      <c r="V4" s="229"/>
      <c r="W4" s="229"/>
      <c r="X4" s="229"/>
      <c r="Y4" s="229"/>
      <c r="Z4" s="228" t="s">
        <v>44</v>
      </c>
      <c r="AA4" s="229"/>
      <c r="AB4" s="229"/>
      <c r="AC4" s="229"/>
      <c r="AD4" s="229"/>
      <c r="AE4" s="229"/>
      <c r="AF4" s="229"/>
      <c r="AG4" s="230"/>
    </row>
    <row r="5" spans="1:33" ht="30" customHeight="1" x14ac:dyDescent="0.3">
      <c r="A5" s="225"/>
      <c r="B5" s="227"/>
      <c r="C5" s="231" t="s">
        <v>1</v>
      </c>
      <c r="D5" s="232"/>
      <c r="E5" s="232"/>
      <c r="F5" s="232"/>
      <c r="G5" s="232"/>
      <c r="H5" s="233" t="s">
        <v>2</v>
      </c>
      <c r="I5" s="234"/>
      <c r="J5" s="234"/>
      <c r="K5" s="236"/>
      <c r="L5" s="237" t="s">
        <v>10</v>
      </c>
      <c r="M5" s="237"/>
      <c r="N5" s="238"/>
      <c r="O5" s="237" t="s">
        <v>3</v>
      </c>
      <c r="P5" s="237"/>
      <c r="Q5" s="239"/>
      <c r="R5" s="231" t="s">
        <v>1</v>
      </c>
      <c r="S5" s="232"/>
      <c r="T5" s="232"/>
      <c r="U5" s="232"/>
      <c r="V5" s="232"/>
      <c r="W5" s="233" t="s">
        <v>2</v>
      </c>
      <c r="X5" s="234"/>
      <c r="Y5" s="234"/>
      <c r="Z5" s="231" t="s">
        <v>1</v>
      </c>
      <c r="AA5" s="232"/>
      <c r="AB5" s="232"/>
      <c r="AC5" s="232"/>
      <c r="AD5" s="232"/>
      <c r="AE5" s="233" t="s">
        <v>2</v>
      </c>
      <c r="AF5" s="234"/>
      <c r="AG5" s="235"/>
    </row>
    <row r="6" spans="1:33" ht="66.75" customHeight="1" x14ac:dyDescent="0.3">
      <c r="A6" s="225"/>
      <c r="B6" s="227"/>
      <c r="C6" s="128" t="s">
        <v>4</v>
      </c>
      <c r="D6" s="129" t="s">
        <v>5</v>
      </c>
      <c r="E6" s="130" t="s">
        <v>6</v>
      </c>
      <c r="F6" s="129" t="s">
        <v>32</v>
      </c>
      <c r="G6" s="129" t="s">
        <v>7</v>
      </c>
      <c r="H6" s="129" t="s">
        <v>39</v>
      </c>
      <c r="I6" s="129" t="s">
        <v>8</v>
      </c>
      <c r="J6" s="129" t="s">
        <v>40</v>
      </c>
      <c r="K6" s="129" t="s">
        <v>41</v>
      </c>
      <c r="L6" s="130" t="s">
        <v>9</v>
      </c>
      <c r="M6" s="129" t="s">
        <v>28</v>
      </c>
      <c r="N6" s="131">
        <v>0.85</v>
      </c>
      <c r="O6" s="130" t="s">
        <v>9</v>
      </c>
      <c r="P6" s="129" t="s">
        <v>27</v>
      </c>
      <c r="Q6" s="132">
        <v>0.85</v>
      </c>
      <c r="R6" s="128" t="s">
        <v>4</v>
      </c>
      <c r="S6" s="129" t="s">
        <v>5</v>
      </c>
      <c r="T6" s="130" t="s">
        <v>6</v>
      </c>
      <c r="U6" s="129" t="s">
        <v>32</v>
      </c>
      <c r="V6" s="129" t="s">
        <v>7</v>
      </c>
      <c r="W6" s="129" t="s">
        <v>39</v>
      </c>
      <c r="X6" s="129" t="s">
        <v>8</v>
      </c>
      <c r="Y6" s="129" t="s">
        <v>40</v>
      </c>
      <c r="Z6" s="128" t="s">
        <v>4</v>
      </c>
      <c r="AA6" s="129" t="s">
        <v>5</v>
      </c>
      <c r="AB6" s="130" t="s">
        <v>6</v>
      </c>
      <c r="AC6" s="129" t="s">
        <v>32</v>
      </c>
      <c r="AD6" s="129" t="s">
        <v>7</v>
      </c>
      <c r="AE6" s="129" t="s">
        <v>39</v>
      </c>
      <c r="AF6" s="129" t="s">
        <v>8</v>
      </c>
      <c r="AG6" s="133" t="s">
        <v>40</v>
      </c>
    </row>
    <row r="7" spans="1:33" s="29" customFormat="1" ht="16.5" customHeight="1" x14ac:dyDescent="0.3">
      <c r="A7" s="222" t="s">
        <v>64</v>
      </c>
      <c r="B7" s="41" t="s">
        <v>50</v>
      </c>
      <c r="C7" s="31">
        <v>37</v>
      </c>
      <c r="D7" s="32">
        <v>241</v>
      </c>
      <c r="E7" s="33">
        <v>6.5135135135135132</v>
      </c>
      <c r="F7" s="32">
        <v>36</v>
      </c>
      <c r="G7" s="32">
        <v>64</v>
      </c>
      <c r="H7" s="32">
        <v>151</v>
      </c>
      <c r="I7" s="34">
        <v>4.0810810810810807</v>
      </c>
      <c r="J7" s="35">
        <v>56.140350877192979</v>
      </c>
      <c r="K7" s="34">
        <v>92.020549668874196</v>
      </c>
      <c r="L7" s="33">
        <v>93.622444444444426</v>
      </c>
      <c r="M7" s="34">
        <v>0.8002638260992867</v>
      </c>
      <c r="N7" s="33">
        <v>92.841750000000005</v>
      </c>
      <c r="O7" s="33">
        <v>4.1891666666666669</v>
      </c>
      <c r="P7" s="34">
        <v>0.39903616516691043</v>
      </c>
      <c r="Q7" s="36">
        <v>4.5774999999999997</v>
      </c>
      <c r="R7" s="31">
        <v>37</v>
      </c>
      <c r="S7" s="32">
        <v>229</v>
      </c>
      <c r="T7" s="33">
        <v>6.1891891891891895</v>
      </c>
      <c r="U7" s="32">
        <v>35</v>
      </c>
      <c r="V7" s="32">
        <v>60</v>
      </c>
      <c r="W7" s="32">
        <v>124</v>
      </c>
      <c r="X7" s="34">
        <f>W7/R7</f>
        <v>3.3513513513513513</v>
      </c>
      <c r="Y7" s="35">
        <f>V7/(W7-R7)*100</f>
        <v>68.965517241379317</v>
      </c>
      <c r="Z7" s="137"/>
      <c r="AA7" s="138"/>
      <c r="AB7" s="139"/>
      <c r="AC7" s="138"/>
      <c r="AD7" s="138"/>
      <c r="AE7" s="138"/>
      <c r="AF7" s="138"/>
      <c r="AG7" s="140"/>
    </row>
    <row r="8" spans="1:33" x14ac:dyDescent="0.3">
      <c r="A8" s="220"/>
      <c r="B8" s="42" t="s">
        <v>14</v>
      </c>
      <c r="C8" s="134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6"/>
      <c r="R8" s="134"/>
      <c r="S8" s="135"/>
      <c r="T8" s="135"/>
      <c r="U8" s="135"/>
      <c r="V8" s="135"/>
      <c r="W8" s="135"/>
      <c r="X8" s="135"/>
      <c r="Y8" s="135"/>
      <c r="Z8" s="2">
        <v>20</v>
      </c>
      <c r="AA8" s="3">
        <v>88</v>
      </c>
      <c r="AB8" s="4">
        <v>4.4000000000000004</v>
      </c>
      <c r="AC8" s="3">
        <v>19</v>
      </c>
      <c r="AD8" s="3">
        <v>29</v>
      </c>
      <c r="AE8" s="3">
        <v>57</v>
      </c>
      <c r="AF8" s="4">
        <v>2.85</v>
      </c>
      <c r="AG8" s="118">
        <v>78.378378378378372</v>
      </c>
    </row>
    <row r="9" spans="1:33" x14ac:dyDescent="0.3">
      <c r="A9" s="220"/>
      <c r="B9" s="42" t="s">
        <v>16</v>
      </c>
      <c r="C9" s="134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6"/>
      <c r="R9" s="134"/>
      <c r="S9" s="135"/>
      <c r="T9" s="135"/>
      <c r="U9" s="135"/>
      <c r="V9" s="135"/>
      <c r="W9" s="135"/>
      <c r="X9" s="135"/>
      <c r="Y9" s="135"/>
      <c r="Z9" s="2">
        <v>17</v>
      </c>
      <c r="AA9" s="3">
        <v>87</v>
      </c>
      <c r="AB9" s="4">
        <v>5.117647058823529</v>
      </c>
      <c r="AC9" s="3">
        <v>16</v>
      </c>
      <c r="AD9" s="3">
        <v>29</v>
      </c>
      <c r="AE9" s="3">
        <v>46</v>
      </c>
      <c r="AF9" s="4">
        <v>2.7058823529411766</v>
      </c>
      <c r="AG9" s="118">
        <v>100</v>
      </c>
    </row>
    <row r="10" spans="1:33" x14ac:dyDescent="0.3">
      <c r="A10" s="220"/>
      <c r="B10" s="42" t="s">
        <v>19</v>
      </c>
      <c r="C10" s="134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34"/>
      <c r="S10" s="135"/>
      <c r="T10" s="135"/>
      <c r="U10" s="135"/>
      <c r="V10" s="135"/>
      <c r="W10" s="135"/>
      <c r="X10" s="135"/>
      <c r="Y10" s="135"/>
      <c r="Z10" s="2">
        <v>11</v>
      </c>
      <c r="AA10" s="3">
        <v>27</v>
      </c>
      <c r="AB10" s="4">
        <v>2.4545454545454546</v>
      </c>
      <c r="AC10" s="3">
        <v>8</v>
      </c>
      <c r="AD10" s="3">
        <v>6</v>
      </c>
      <c r="AE10" s="3">
        <v>17</v>
      </c>
      <c r="AF10" s="4">
        <v>1.5454545454545454</v>
      </c>
      <c r="AG10" s="118">
        <v>100</v>
      </c>
    </row>
    <row r="11" spans="1:33" s="29" customFormat="1" ht="16.5" customHeight="1" x14ac:dyDescent="0.3">
      <c r="A11" s="220"/>
      <c r="B11" s="41" t="s">
        <v>51</v>
      </c>
      <c r="C11" s="31">
        <v>54</v>
      </c>
      <c r="D11" s="32">
        <v>468</v>
      </c>
      <c r="E11" s="33">
        <v>8.6666666666666661</v>
      </c>
      <c r="F11" s="32">
        <v>52</v>
      </c>
      <c r="G11" s="32">
        <v>106</v>
      </c>
      <c r="H11" s="32">
        <v>326</v>
      </c>
      <c r="I11" s="34">
        <v>6.0370370370370399</v>
      </c>
      <c r="J11" s="35">
        <v>38.970588235294116</v>
      </c>
      <c r="K11" s="34">
        <v>92.939739263803688</v>
      </c>
      <c r="L11" s="33">
        <v>94.577903846153802</v>
      </c>
      <c r="M11" s="34">
        <v>1.0061406511982089</v>
      </c>
      <c r="N11" s="33">
        <v>93.846549999999993</v>
      </c>
      <c r="O11" s="33">
        <v>3.7109615384615378</v>
      </c>
      <c r="P11" s="34">
        <v>0.50285821375025674</v>
      </c>
      <c r="Q11" s="36">
        <v>4.077</v>
      </c>
      <c r="R11" s="31">
        <v>54</v>
      </c>
      <c r="S11" s="32">
        <v>311</v>
      </c>
      <c r="T11" s="33">
        <v>5.7592592592592595</v>
      </c>
      <c r="U11" s="32">
        <v>52</v>
      </c>
      <c r="V11" s="32">
        <v>100</v>
      </c>
      <c r="W11" s="32">
        <v>218</v>
      </c>
      <c r="X11" s="34">
        <f t="shared" ref="X11:X35" si="0">W11/R11</f>
        <v>4.0370370370370372</v>
      </c>
      <c r="Y11" s="35">
        <f t="shared" ref="Y11:Y60" si="1">V11/(W11-R11)*100</f>
        <v>60.975609756097562</v>
      </c>
      <c r="Z11" s="137"/>
      <c r="AA11" s="138"/>
      <c r="AB11" s="139"/>
      <c r="AC11" s="138"/>
      <c r="AD11" s="138"/>
      <c r="AE11" s="138"/>
      <c r="AF11" s="138"/>
      <c r="AG11" s="140"/>
    </row>
    <row r="12" spans="1:33" x14ac:dyDescent="0.3">
      <c r="A12" s="220"/>
      <c r="B12" s="42" t="s">
        <v>12</v>
      </c>
      <c r="C12" s="134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6"/>
      <c r="R12" s="134"/>
      <c r="S12" s="135"/>
      <c r="T12" s="135"/>
      <c r="U12" s="135"/>
      <c r="V12" s="135"/>
      <c r="W12" s="135"/>
      <c r="X12" s="135"/>
      <c r="Y12" s="135"/>
      <c r="Z12" s="2">
        <v>30</v>
      </c>
      <c r="AA12" s="3">
        <v>163</v>
      </c>
      <c r="AB12" s="4">
        <v>5.4333333333333336</v>
      </c>
      <c r="AC12" s="3">
        <v>30</v>
      </c>
      <c r="AD12" s="3">
        <v>99</v>
      </c>
      <c r="AE12" s="3">
        <v>132</v>
      </c>
      <c r="AF12" s="4">
        <v>4.4000000000000004</v>
      </c>
      <c r="AG12" s="118">
        <v>97.058823529411768</v>
      </c>
    </row>
    <row r="13" spans="1:33" x14ac:dyDescent="0.3">
      <c r="A13" s="220"/>
      <c r="B13" s="42" t="s">
        <v>13</v>
      </c>
      <c r="C13" s="134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6"/>
      <c r="R13" s="134"/>
      <c r="S13" s="135"/>
      <c r="T13" s="135"/>
      <c r="U13" s="135"/>
      <c r="V13" s="135"/>
      <c r="W13" s="135"/>
      <c r="X13" s="135"/>
      <c r="Y13" s="135"/>
      <c r="Z13" s="134"/>
      <c r="AA13" s="135"/>
      <c r="AB13" s="141"/>
      <c r="AC13" s="135"/>
      <c r="AD13" s="135"/>
      <c r="AE13" s="135"/>
      <c r="AF13" s="141"/>
      <c r="AG13" s="142"/>
    </row>
    <row r="14" spans="1:33" x14ac:dyDescent="0.3">
      <c r="A14" s="220"/>
      <c r="B14" s="42" t="s">
        <v>45</v>
      </c>
      <c r="C14" s="134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6"/>
      <c r="R14" s="134"/>
      <c r="S14" s="135"/>
      <c r="T14" s="135"/>
      <c r="U14" s="135"/>
      <c r="V14" s="135"/>
      <c r="W14" s="135"/>
      <c r="X14" s="135"/>
      <c r="Y14" s="135"/>
      <c r="Z14" s="2">
        <v>50</v>
      </c>
      <c r="AA14" s="3">
        <v>213</v>
      </c>
      <c r="AB14" s="4">
        <v>4.26</v>
      </c>
      <c r="AC14" s="3">
        <v>46</v>
      </c>
      <c r="AD14" s="3">
        <v>84</v>
      </c>
      <c r="AE14" s="3">
        <v>161</v>
      </c>
      <c r="AF14" s="4">
        <v>3.22</v>
      </c>
      <c r="AG14" s="118">
        <v>75.675675675675677</v>
      </c>
    </row>
    <row r="15" spans="1:33" s="29" customFormat="1" ht="16.5" customHeight="1" x14ac:dyDescent="0.3">
      <c r="A15" s="220"/>
      <c r="B15" s="41" t="s">
        <v>52</v>
      </c>
      <c r="C15" s="31">
        <v>28</v>
      </c>
      <c r="D15" s="32">
        <v>190</v>
      </c>
      <c r="E15" s="33">
        <v>6.7857142857142856</v>
      </c>
      <c r="F15" s="32">
        <v>28</v>
      </c>
      <c r="G15" s="32">
        <v>30</v>
      </c>
      <c r="H15" s="211">
        <v>78</v>
      </c>
      <c r="I15" s="212">
        <v>2.7857142857142856</v>
      </c>
      <c r="J15" s="215">
        <v>60</v>
      </c>
      <c r="K15" s="212">
        <v>91.313846153846129</v>
      </c>
      <c r="L15" s="33">
        <v>92.99175000000001</v>
      </c>
      <c r="M15" s="34">
        <v>1.2172474694097504</v>
      </c>
      <c r="N15" s="33">
        <v>91.738600000000005</v>
      </c>
      <c r="O15" s="33">
        <v>4.4164285714285709</v>
      </c>
      <c r="P15" s="34">
        <v>0.47837682610584364</v>
      </c>
      <c r="Q15" s="36">
        <v>4.9880000000000004</v>
      </c>
      <c r="R15" s="31">
        <v>28</v>
      </c>
      <c r="S15" s="32">
        <v>84</v>
      </c>
      <c r="T15" s="33">
        <v>3</v>
      </c>
      <c r="U15" s="32">
        <v>18</v>
      </c>
      <c r="V15" s="32">
        <v>14</v>
      </c>
      <c r="W15" s="32">
        <v>42</v>
      </c>
      <c r="X15" s="34">
        <f t="shared" si="0"/>
        <v>1.5</v>
      </c>
      <c r="Y15" s="35">
        <f t="shared" si="1"/>
        <v>100</v>
      </c>
      <c r="Z15" s="2">
        <v>28</v>
      </c>
      <c r="AA15" s="3">
        <v>91</v>
      </c>
      <c r="AB15" s="4">
        <v>3.25</v>
      </c>
      <c r="AC15" s="3">
        <v>13</v>
      </c>
      <c r="AD15" s="3">
        <v>22</v>
      </c>
      <c r="AE15" s="3">
        <v>50</v>
      </c>
      <c r="AF15" s="4">
        <v>1.7857142857142858</v>
      </c>
      <c r="AG15" s="118">
        <v>100</v>
      </c>
    </row>
    <row r="16" spans="1:33" s="29" customFormat="1" ht="16.5" customHeight="1" x14ac:dyDescent="0.3">
      <c r="A16" s="220"/>
      <c r="B16" s="41" t="s">
        <v>53</v>
      </c>
      <c r="C16" s="31">
        <v>28</v>
      </c>
      <c r="D16" s="32">
        <v>108</v>
      </c>
      <c r="E16" s="33">
        <v>3.8571428571428572</v>
      </c>
      <c r="F16" s="32">
        <v>28</v>
      </c>
      <c r="G16" s="32">
        <v>35</v>
      </c>
      <c r="H16" s="32">
        <v>63</v>
      </c>
      <c r="I16" s="34">
        <v>2.25</v>
      </c>
      <c r="J16" s="35">
        <v>100</v>
      </c>
      <c r="K16" s="34">
        <v>87.932952380952358</v>
      </c>
      <c r="L16" s="33">
        <v>85.70321428571431</v>
      </c>
      <c r="M16" s="34">
        <v>9.3026215059331321</v>
      </c>
      <c r="N16" s="33">
        <v>77.175049999999999</v>
      </c>
      <c r="O16" s="33">
        <v>5.1350000000000025</v>
      </c>
      <c r="P16" s="34">
        <v>0.71456030436304685</v>
      </c>
      <c r="Q16" s="36">
        <v>5.7389999999999999</v>
      </c>
      <c r="R16" s="31">
        <v>36</v>
      </c>
      <c r="S16" s="32">
        <v>83</v>
      </c>
      <c r="T16" s="33">
        <v>2.3055555555555554</v>
      </c>
      <c r="U16" s="32">
        <v>24</v>
      </c>
      <c r="V16" s="32">
        <v>9</v>
      </c>
      <c r="W16" s="32">
        <v>45</v>
      </c>
      <c r="X16" s="34">
        <f t="shared" si="0"/>
        <v>1.25</v>
      </c>
      <c r="Y16" s="35">
        <f t="shared" si="1"/>
        <v>100</v>
      </c>
      <c r="Z16" s="137"/>
      <c r="AA16" s="138"/>
      <c r="AB16" s="139"/>
      <c r="AC16" s="138"/>
      <c r="AD16" s="138"/>
      <c r="AE16" s="138"/>
      <c r="AF16" s="138"/>
      <c r="AG16" s="140"/>
    </row>
    <row r="17" spans="1:33" x14ac:dyDescent="0.3">
      <c r="A17" s="220"/>
      <c r="B17" s="42" t="s">
        <v>46</v>
      </c>
      <c r="C17" s="134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6"/>
      <c r="R17" s="134"/>
      <c r="S17" s="135"/>
      <c r="T17" s="135"/>
      <c r="U17" s="135"/>
      <c r="V17" s="135"/>
      <c r="W17" s="135"/>
      <c r="X17" s="135"/>
      <c r="Y17" s="135"/>
      <c r="Z17" s="2">
        <v>30</v>
      </c>
      <c r="AA17" s="3">
        <v>87</v>
      </c>
      <c r="AB17" s="4">
        <v>2.9</v>
      </c>
      <c r="AC17" s="3">
        <v>16</v>
      </c>
      <c r="AD17" s="3">
        <v>19</v>
      </c>
      <c r="AE17" s="3">
        <v>49</v>
      </c>
      <c r="AF17" s="4">
        <v>1.6333333333333333</v>
      </c>
      <c r="AG17" s="118">
        <v>100</v>
      </c>
    </row>
    <row r="18" spans="1:33" x14ac:dyDescent="0.3">
      <c r="A18" s="220"/>
      <c r="B18" s="42" t="s">
        <v>21</v>
      </c>
      <c r="C18" s="134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6"/>
      <c r="R18" s="134"/>
      <c r="S18" s="135"/>
      <c r="T18" s="135"/>
      <c r="U18" s="135"/>
      <c r="V18" s="135"/>
      <c r="W18" s="135"/>
      <c r="X18" s="135"/>
      <c r="Y18" s="135"/>
      <c r="Z18" s="2">
        <v>12</v>
      </c>
      <c r="AA18" s="3">
        <v>27</v>
      </c>
      <c r="AB18" s="4">
        <v>2.25</v>
      </c>
      <c r="AC18" s="3">
        <v>8</v>
      </c>
      <c r="AD18" s="3">
        <v>9</v>
      </c>
      <c r="AE18" s="3">
        <v>21</v>
      </c>
      <c r="AF18" s="4">
        <v>1.75</v>
      </c>
      <c r="AG18" s="118">
        <v>100</v>
      </c>
    </row>
    <row r="19" spans="1:33" s="29" customFormat="1" ht="16.5" customHeight="1" x14ac:dyDescent="0.3">
      <c r="A19" s="220"/>
      <c r="B19" s="41" t="s">
        <v>54</v>
      </c>
      <c r="C19" s="31">
        <v>49</v>
      </c>
      <c r="D19" s="32">
        <v>153</v>
      </c>
      <c r="E19" s="33">
        <v>3.1224489795918369</v>
      </c>
      <c r="F19" s="32">
        <v>49</v>
      </c>
      <c r="G19" s="32">
        <v>31</v>
      </c>
      <c r="H19" s="32">
        <v>99</v>
      </c>
      <c r="I19" s="34">
        <v>2.0204081632653059</v>
      </c>
      <c r="J19" s="35">
        <v>62</v>
      </c>
      <c r="K19" s="34">
        <v>90.647787878787867</v>
      </c>
      <c r="L19" s="33">
        <v>92.116714285714281</v>
      </c>
      <c r="M19" s="34">
        <v>2.0604929962889771</v>
      </c>
      <c r="N19" s="33">
        <v>89.383399999999995</v>
      </c>
      <c r="O19" s="33">
        <v>4.4848979591836731</v>
      </c>
      <c r="P19" s="34">
        <v>0.5218066044472971</v>
      </c>
      <c r="Q19" s="36">
        <v>5.0759999999999996</v>
      </c>
      <c r="R19" s="31">
        <v>63</v>
      </c>
      <c r="S19" s="32">
        <v>155</v>
      </c>
      <c r="T19" s="33">
        <v>2.4603174603174605</v>
      </c>
      <c r="U19" s="32">
        <v>44</v>
      </c>
      <c r="V19" s="32">
        <v>38</v>
      </c>
      <c r="W19" s="32">
        <v>101</v>
      </c>
      <c r="X19" s="34">
        <f t="shared" si="0"/>
        <v>1.6031746031746033</v>
      </c>
      <c r="Y19" s="35">
        <f t="shared" si="1"/>
        <v>100</v>
      </c>
      <c r="Z19" s="137"/>
      <c r="AA19" s="138"/>
      <c r="AB19" s="139"/>
      <c r="AC19" s="138"/>
      <c r="AD19" s="138"/>
      <c r="AE19" s="138"/>
      <c r="AF19" s="138"/>
      <c r="AG19" s="140"/>
    </row>
    <row r="20" spans="1:33" x14ac:dyDescent="0.3">
      <c r="A20" s="220"/>
      <c r="B20" s="42" t="s">
        <v>34</v>
      </c>
      <c r="C20" s="134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6"/>
      <c r="R20" s="134"/>
      <c r="S20" s="135"/>
      <c r="T20" s="135"/>
      <c r="U20" s="135"/>
      <c r="V20" s="135"/>
      <c r="W20" s="135"/>
      <c r="X20" s="135"/>
      <c r="Y20" s="135"/>
      <c r="Z20" s="2">
        <v>10</v>
      </c>
      <c r="AA20" s="3">
        <v>44</v>
      </c>
      <c r="AB20" s="4">
        <v>4.4000000000000004</v>
      </c>
      <c r="AC20" s="3">
        <v>8</v>
      </c>
      <c r="AD20" s="3">
        <v>13</v>
      </c>
      <c r="AE20" s="3">
        <v>23</v>
      </c>
      <c r="AF20" s="4">
        <v>2.2999999999999998</v>
      </c>
      <c r="AG20" s="118">
        <v>100</v>
      </c>
    </row>
    <row r="21" spans="1:33" x14ac:dyDescent="0.3">
      <c r="A21" s="220"/>
      <c r="B21" s="42" t="s">
        <v>15</v>
      </c>
      <c r="C21" s="134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6"/>
      <c r="R21" s="134"/>
      <c r="S21" s="135"/>
      <c r="T21" s="135"/>
      <c r="U21" s="135"/>
      <c r="V21" s="135"/>
      <c r="W21" s="135"/>
      <c r="X21" s="135"/>
      <c r="Y21" s="135"/>
      <c r="Z21" s="2">
        <v>42</v>
      </c>
      <c r="AA21" s="3">
        <v>160</v>
      </c>
      <c r="AB21" s="4">
        <v>3.8095238095238093</v>
      </c>
      <c r="AC21" s="3">
        <v>36</v>
      </c>
      <c r="AD21" s="3">
        <v>71</v>
      </c>
      <c r="AE21" s="3">
        <v>113</v>
      </c>
      <c r="AF21" s="4">
        <v>2.6904761904761907</v>
      </c>
      <c r="AG21" s="118">
        <v>100</v>
      </c>
    </row>
    <row r="22" spans="1:33" s="29" customFormat="1" ht="16.5" customHeight="1" x14ac:dyDescent="0.3">
      <c r="A22" s="220"/>
      <c r="B22" s="41" t="s">
        <v>55</v>
      </c>
      <c r="C22" s="31">
        <v>55</v>
      </c>
      <c r="D22" s="32">
        <v>361</v>
      </c>
      <c r="E22" s="33">
        <v>6.5636363636363635</v>
      </c>
      <c r="F22" s="32">
        <v>52</v>
      </c>
      <c r="G22" s="32">
        <v>103</v>
      </c>
      <c r="H22" s="32">
        <v>298</v>
      </c>
      <c r="I22" s="34">
        <v>5.418181818181818</v>
      </c>
      <c r="J22" s="35">
        <v>42.386831275720169</v>
      </c>
      <c r="K22" s="34">
        <v>94.330325503355724</v>
      </c>
      <c r="L22" s="33">
        <v>95.246596153846156</v>
      </c>
      <c r="M22" s="34">
        <v>0.5314216151595641</v>
      </c>
      <c r="N22" s="33">
        <v>94.702100000000002</v>
      </c>
      <c r="O22" s="33">
        <v>3.3767307692307682</v>
      </c>
      <c r="P22" s="34">
        <v>0.26587100077530773</v>
      </c>
      <c r="Q22" s="36">
        <v>3.65</v>
      </c>
      <c r="R22" s="31">
        <v>55</v>
      </c>
      <c r="S22" s="32">
        <v>303</v>
      </c>
      <c r="T22" s="33">
        <v>5.5090909090909088</v>
      </c>
      <c r="U22" s="32">
        <v>51</v>
      </c>
      <c r="V22" s="32">
        <v>82</v>
      </c>
      <c r="W22" s="32">
        <v>237</v>
      </c>
      <c r="X22" s="34">
        <f t="shared" si="0"/>
        <v>4.3090909090909095</v>
      </c>
      <c r="Y22" s="35">
        <f t="shared" si="1"/>
        <v>45.054945054945058</v>
      </c>
      <c r="Z22" s="2">
        <v>78</v>
      </c>
      <c r="AA22" s="3">
        <v>262</v>
      </c>
      <c r="AB22" s="4">
        <v>3.358974358974359</v>
      </c>
      <c r="AC22" s="3">
        <v>75</v>
      </c>
      <c r="AD22" s="3">
        <v>108</v>
      </c>
      <c r="AE22" s="3">
        <v>199</v>
      </c>
      <c r="AF22" s="4">
        <v>2.5512820512820511</v>
      </c>
      <c r="AG22" s="118">
        <v>89.256198347107443</v>
      </c>
    </row>
    <row r="23" spans="1:33" s="29" customFormat="1" ht="16.5" customHeight="1" x14ac:dyDescent="0.3">
      <c r="A23" s="220"/>
      <c r="B23" s="41" t="s">
        <v>56</v>
      </c>
      <c r="C23" s="31">
        <v>40</v>
      </c>
      <c r="D23" s="32">
        <v>194</v>
      </c>
      <c r="E23" s="33">
        <v>4.8499999999999996</v>
      </c>
      <c r="F23" s="32">
        <v>39</v>
      </c>
      <c r="G23" s="32">
        <v>77</v>
      </c>
      <c r="H23" s="32">
        <v>146</v>
      </c>
      <c r="I23" s="34">
        <v>3.65</v>
      </c>
      <c r="J23" s="35">
        <v>72.641509433962256</v>
      </c>
      <c r="K23" s="34">
        <v>94.249061643835688</v>
      </c>
      <c r="L23" s="33">
        <v>94.575564102564115</v>
      </c>
      <c r="M23" s="34">
        <v>0.78924617701996369</v>
      </c>
      <c r="N23" s="33">
        <v>93.848700000000008</v>
      </c>
      <c r="O23" s="33">
        <v>3.7117948717948721</v>
      </c>
      <c r="P23" s="34">
        <v>0.39477271484229232</v>
      </c>
      <c r="Q23" s="36">
        <v>4.0730000000000004</v>
      </c>
      <c r="R23" s="31">
        <v>28</v>
      </c>
      <c r="S23" s="32">
        <v>200</v>
      </c>
      <c r="T23" s="33">
        <v>7.1428571428571432</v>
      </c>
      <c r="U23" s="32">
        <v>27</v>
      </c>
      <c r="V23" s="32">
        <v>47</v>
      </c>
      <c r="W23" s="32">
        <v>148</v>
      </c>
      <c r="X23" s="34">
        <f t="shared" si="0"/>
        <v>5.2857142857142856</v>
      </c>
      <c r="Y23" s="35">
        <f t="shared" si="1"/>
        <v>39.166666666666664</v>
      </c>
      <c r="Z23" s="137"/>
      <c r="AA23" s="138"/>
      <c r="AB23" s="139"/>
      <c r="AC23" s="138"/>
      <c r="AD23" s="138"/>
      <c r="AE23" s="138"/>
      <c r="AF23" s="138"/>
      <c r="AG23" s="140"/>
    </row>
    <row r="24" spans="1:33" x14ac:dyDescent="0.3">
      <c r="A24" s="220"/>
      <c r="B24" s="42" t="s">
        <v>17</v>
      </c>
      <c r="C24" s="134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6"/>
      <c r="R24" s="134"/>
      <c r="S24" s="135"/>
      <c r="T24" s="135"/>
      <c r="U24" s="135"/>
      <c r="V24" s="135"/>
      <c r="W24" s="135"/>
      <c r="X24" s="135"/>
      <c r="Y24" s="135"/>
      <c r="Z24" s="2">
        <v>27</v>
      </c>
      <c r="AA24" s="3">
        <v>119</v>
      </c>
      <c r="AB24" s="4">
        <v>4.4074074074074074</v>
      </c>
      <c r="AC24" s="3">
        <v>26</v>
      </c>
      <c r="AD24" s="3">
        <v>42</v>
      </c>
      <c r="AE24" s="3">
        <v>91</v>
      </c>
      <c r="AF24" s="4">
        <v>3.3703703703703702</v>
      </c>
      <c r="AG24" s="118">
        <v>65.625</v>
      </c>
    </row>
    <row r="25" spans="1:33" x14ac:dyDescent="0.3">
      <c r="A25" s="220"/>
      <c r="B25" s="42" t="s">
        <v>18</v>
      </c>
      <c r="C25" s="134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6"/>
      <c r="R25" s="134"/>
      <c r="S25" s="135"/>
      <c r="T25" s="135"/>
      <c r="U25" s="135"/>
      <c r="V25" s="135"/>
      <c r="W25" s="135"/>
      <c r="X25" s="135"/>
      <c r="Y25" s="135"/>
      <c r="Z25" s="2">
        <v>21</v>
      </c>
      <c r="AA25" s="3">
        <v>66</v>
      </c>
      <c r="AB25" s="4">
        <v>3.1428571428571428</v>
      </c>
      <c r="AC25" s="3">
        <v>21</v>
      </c>
      <c r="AD25" s="3">
        <v>24</v>
      </c>
      <c r="AE25" s="3">
        <v>47</v>
      </c>
      <c r="AF25" s="4">
        <v>2.2380952380952381</v>
      </c>
      <c r="AG25" s="118">
        <v>92.307692307692307</v>
      </c>
    </row>
    <row r="26" spans="1:33" s="29" customFormat="1" ht="16.5" customHeight="1" x14ac:dyDescent="0.3">
      <c r="A26" s="220"/>
      <c r="B26" s="41" t="s">
        <v>57</v>
      </c>
      <c r="C26" s="143"/>
      <c r="D26" s="144"/>
      <c r="E26" s="145"/>
      <c r="F26" s="144"/>
      <c r="G26" s="144"/>
      <c r="H26" s="144"/>
      <c r="I26" s="146"/>
      <c r="J26" s="147"/>
      <c r="K26" s="146"/>
      <c r="L26" s="145"/>
      <c r="M26" s="146"/>
      <c r="N26" s="145"/>
      <c r="O26" s="145"/>
      <c r="P26" s="146"/>
      <c r="Q26" s="148"/>
      <c r="R26" s="31">
        <v>15</v>
      </c>
      <c r="S26" s="32">
        <v>46</v>
      </c>
      <c r="T26" s="33">
        <v>3.0666666666666669</v>
      </c>
      <c r="U26" s="32">
        <v>10</v>
      </c>
      <c r="V26" s="32">
        <v>16</v>
      </c>
      <c r="W26" s="32">
        <v>31</v>
      </c>
      <c r="X26" s="34">
        <f t="shared" si="0"/>
        <v>2.0666666666666669</v>
      </c>
      <c r="Y26" s="35">
        <f t="shared" si="1"/>
        <v>100</v>
      </c>
      <c r="Z26" s="2">
        <v>13</v>
      </c>
      <c r="AA26" s="3">
        <v>57</v>
      </c>
      <c r="AB26" s="4">
        <v>4.384615384615385</v>
      </c>
      <c r="AC26" s="3">
        <v>10</v>
      </c>
      <c r="AD26" s="3">
        <v>31</v>
      </c>
      <c r="AE26" s="3">
        <v>47</v>
      </c>
      <c r="AF26" s="4">
        <v>3.6153846153846154</v>
      </c>
      <c r="AG26" s="118">
        <v>91.17647058823529</v>
      </c>
    </row>
    <row r="27" spans="1:33" s="29" customFormat="1" ht="16.5" customHeight="1" x14ac:dyDescent="0.3">
      <c r="A27" s="220"/>
      <c r="B27" s="41" t="s">
        <v>58</v>
      </c>
      <c r="C27" s="31">
        <v>27</v>
      </c>
      <c r="D27" s="32">
        <v>97</v>
      </c>
      <c r="E27" s="33">
        <v>3.5925925925925926</v>
      </c>
      <c r="F27" s="32">
        <v>22</v>
      </c>
      <c r="G27" s="32">
        <v>26</v>
      </c>
      <c r="H27" s="32">
        <v>53</v>
      </c>
      <c r="I27" s="34">
        <v>1.962962962962963</v>
      </c>
      <c r="J27" s="35">
        <v>100</v>
      </c>
      <c r="K27" s="34">
        <v>93.066490566037729</v>
      </c>
      <c r="L27" s="33">
        <v>93.24</v>
      </c>
      <c r="M27" s="34">
        <v>2.4016821377754827</v>
      </c>
      <c r="N27" s="33">
        <v>91.493300000000005</v>
      </c>
      <c r="O27" s="33">
        <v>4.0640909090909085</v>
      </c>
      <c r="P27" s="34">
        <v>0.65445090857568233</v>
      </c>
      <c r="Q27" s="36">
        <v>4.7494999999999994</v>
      </c>
      <c r="R27" s="31">
        <v>35</v>
      </c>
      <c r="S27" s="32">
        <v>97</v>
      </c>
      <c r="T27" s="33">
        <v>2.7714285714285714</v>
      </c>
      <c r="U27" s="32">
        <v>18</v>
      </c>
      <c r="V27" s="32">
        <v>29</v>
      </c>
      <c r="W27" s="32">
        <v>64</v>
      </c>
      <c r="X27" s="34">
        <f t="shared" si="0"/>
        <v>1.8285714285714285</v>
      </c>
      <c r="Y27" s="35">
        <f t="shared" si="1"/>
        <v>100</v>
      </c>
      <c r="Z27" s="137"/>
      <c r="AA27" s="138"/>
      <c r="AB27" s="139"/>
      <c r="AC27" s="138"/>
      <c r="AD27" s="138"/>
      <c r="AE27" s="138"/>
      <c r="AF27" s="138"/>
      <c r="AG27" s="140"/>
    </row>
    <row r="28" spans="1:33" x14ac:dyDescent="0.3">
      <c r="A28" s="220"/>
      <c r="B28" s="42" t="s">
        <v>36</v>
      </c>
      <c r="C28" s="134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6"/>
      <c r="R28" s="134"/>
      <c r="S28" s="135"/>
      <c r="T28" s="135"/>
      <c r="U28" s="135"/>
      <c r="V28" s="135"/>
      <c r="W28" s="135"/>
      <c r="X28" s="135"/>
      <c r="Y28" s="135"/>
      <c r="Z28" s="2">
        <v>13</v>
      </c>
      <c r="AA28" s="3">
        <v>42</v>
      </c>
      <c r="AB28" s="4">
        <v>3.2307692307692308</v>
      </c>
      <c r="AC28" s="3">
        <v>5</v>
      </c>
      <c r="AD28" s="3">
        <v>5</v>
      </c>
      <c r="AE28" s="3">
        <v>18</v>
      </c>
      <c r="AF28" s="4">
        <v>1.3846153846153846</v>
      </c>
      <c r="AG28" s="118">
        <v>100</v>
      </c>
    </row>
    <row r="29" spans="1:33" x14ac:dyDescent="0.3">
      <c r="A29" s="220"/>
      <c r="B29" s="42" t="s">
        <v>38</v>
      </c>
      <c r="C29" s="134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6"/>
      <c r="R29" s="134"/>
      <c r="S29" s="135"/>
      <c r="T29" s="135"/>
      <c r="U29" s="135"/>
      <c r="V29" s="135"/>
      <c r="W29" s="135"/>
      <c r="X29" s="135"/>
      <c r="Y29" s="135"/>
      <c r="Z29" s="2">
        <v>10</v>
      </c>
      <c r="AA29" s="3">
        <v>64</v>
      </c>
      <c r="AB29" s="4">
        <v>6.4</v>
      </c>
      <c r="AC29" s="3">
        <v>10</v>
      </c>
      <c r="AD29" s="3">
        <v>31</v>
      </c>
      <c r="AE29" s="3">
        <v>52</v>
      </c>
      <c r="AF29" s="4">
        <v>5.2</v>
      </c>
      <c r="AG29" s="118">
        <v>73.80952380952381</v>
      </c>
    </row>
    <row r="30" spans="1:33" x14ac:dyDescent="0.3">
      <c r="A30" s="220"/>
      <c r="B30" s="42" t="s">
        <v>20</v>
      </c>
      <c r="C30" s="13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6"/>
      <c r="R30" s="134"/>
      <c r="S30" s="135"/>
      <c r="T30" s="135"/>
      <c r="U30" s="135"/>
      <c r="V30" s="135"/>
      <c r="W30" s="135"/>
      <c r="X30" s="135"/>
      <c r="Y30" s="135"/>
      <c r="Z30" s="2">
        <v>12</v>
      </c>
      <c r="AA30" s="3">
        <v>22</v>
      </c>
      <c r="AB30" s="4">
        <v>1.8333333333333333</v>
      </c>
      <c r="AC30" s="3">
        <v>4</v>
      </c>
      <c r="AD30" s="3">
        <v>4</v>
      </c>
      <c r="AE30" s="3">
        <v>16</v>
      </c>
      <c r="AF30" s="4">
        <v>1.3333333333333333</v>
      </c>
      <c r="AG30" s="118">
        <v>100</v>
      </c>
    </row>
    <row r="31" spans="1:33" s="29" customFormat="1" ht="16.5" customHeight="1" x14ac:dyDescent="0.3">
      <c r="A31" s="220"/>
      <c r="B31" s="41" t="s">
        <v>59</v>
      </c>
      <c r="C31" s="31">
        <v>16</v>
      </c>
      <c r="D31" s="32">
        <v>80</v>
      </c>
      <c r="E31" s="33">
        <v>5</v>
      </c>
      <c r="F31" s="32">
        <v>16</v>
      </c>
      <c r="G31" s="32">
        <v>8</v>
      </c>
      <c r="H31" s="32">
        <v>35</v>
      </c>
      <c r="I31" s="34">
        <v>2.1875</v>
      </c>
      <c r="J31" s="35">
        <v>42.105263157894733</v>
      </c>
      <c r="K31" s="34">
        <v>84.836657142857149</v>
      </c>
      <c r="L31" s="33">
        <v>90.370874999999998</v>
      </c>
      <c r="M31" s="34">
        <v>3.2517365336657167</v>
      </c>
      <c r="N31" s="33">
        <v>87.818749999999994</v>
      </c>
      <c r="O31" s="33">
        <v>4.8487499999999999</v>
      </c>
      <c r="P31" s="34">
        <v>0.36155696300860002</v>
      </c>
      <c r="Q31" s="36">
        <v>5.1025</v>
      </c>
      <c r="R31" s="31">
        <v>16</v>
      </c>
      <c r="S31" s="32">
        <v>55</v>
      </c>
      <c r="T31" s="33">
        <v>3.4375</v>
      </c>
      <c r="U31" s="32">
        <v>8</v>
      </c>
      <c r="V31" s="32">
        <v>8</v>
      </c>
      <c r="W31" s="32">
        <v>24</v>
      </c>
      <c r="X31" s="34">
        <f t="shared" si="0"/>
        <v>1.5</v>
      </c>
      <c r="Y31" s="35">
        <f t="shared" si="1"/>
        <v>100</v>
      </c>
      <c r="Z31" s="2">
        <v>12</v>
      </c>
      <c r="AA31" s="3">
        <v>33</v>
      </c>
      <c r="AB31" s="4">
        <v>2.75</v>
      </c>
      <c r="AC31" s="3">
        <v>4</v>
      </c>
      <c r="AD31" s="3">
        <v>9</v>
      </c>
      <c r="AE31" s="3">
        <v>21</v>
      </c>
      <c r="AF31" s="4">
        <v>1.75</v>
      </c>
      <c r="AG31" s="118">
        <v>100</v>
      </c>
    </row>
    <row r="32" spans="1:33" s="29" customFormat="1" ht="16.5" customHeight="1" x14ac:dyDescent="0.3">
      <c r="A32" s="220"/>
      <c r="B32" s="41" t="s">
        <v>60</v>
      </c>
      <c r="C32" s="31">
        <v>7</v>
      </c>
      <c r="D32" s="32">
        <v>39</v>
      </c>
      <c r="E32" s="33">
        <v>5.5714285714285712</v>
      </c>
      <c r="F32" s="32">
        <v>7</v>
      </c>
      <c r="G32" s="32">
        <v>5</v>
      </c>
      <c r="H32" s="32">
        <v>27</v>
      </c>
      <c r="I32" s="34">
        <v>3.8571428571428572</v>
      </c>
      <c r="J32" s="35">
        <v>25</v>
      </c>
      <c r="K32" s="34">
        <v>92.567888888888859</v>
      </c>
      <c r="L32" s="33">
        <v>94.004000000000005</v>
      </c>
      <c r="M32" s="34">
        <v>0.33327466150085072</v>
      </c>
      <c r="N32" s="33">
        <v>93.796999999999997</v>
      </c>
      <c r="O32" s="33">
        <v>3.9971428571428578</v>
      </c>
      <c r="P32" s="34">
        <v>0.16593581252263967</v>
      </c>
      <c r="Q32" s="36">
        <v>4.1020000000000003</v>
      </c>
      <c r="R32" s="31">
        <v>9</v>
      </c>
      <c r="S32" s="32">
        <v>21</v>
      </c>
      <c r="T32" s="33">
        <v>2.3333333333333335</v>
      </c>
      <c r="U32" s="32">
        <v>3</v>
      </c>
      <c r="V32" s="32">
        <v>3</v>
      </c>
      <c r="W32" s="32">
        <v>12</v>
      </c>
      <c r="X32" s="34">
        <f t="shared" si="0"/>
        <v>1.3333333333333333</v>
      </c>
      <c r="Y32" s="35">
        <f t="shared" si="1"/>
        <v>100</v>
      </c>
      <c r="Z32" s="2">
        <v>13</v>
      </c>
      <c r="AA32" s="3">
        <v>32</v>
      </c>
      <c r="AB32" s="4">
        <v>2.4615384615384617</v>
      </c>
      <c r="AC32" s="3">
        <v>7</v>
      </c>
      <c r="AD32" s="3">
        <v>8</v>
      </c>
      <c r="AE32" s="3">
        <v>21</v>
      </c>
      <c r="AF32" s="4">
        <v>1.6153846153846154</v>
      </c>
      <c r="AG32" s="118">
        <v>100</v>
      </c>
    </row>
    <row r="33" spans="1:33" s="29" customFormat="1" ht="16.5" customHeight="1" x14ac:dyDescent="0.3">
      <c r="A33" s="220"/>
      <c r="B33" s="41" t="s">
        <v>61</v>
      </c>
      <c r="C33" s="31">
        <v>12</v>
      </c>
      <c r="D33" s="32">
        <v>72</v>
      </c>
      <c r="E33" s="33">
        <v>6</v>
      </c>
      <c r="F33" s="32">
        <v>10</v>
      </c>
      <c r="G33" s="32">
        <v>24</v>
      </c>
      <c r="H33" s="32">
        <v>36</v>
      </c>
      <c r="I33" s="34">
        <v>3</v>
      </c>
      <c r="J33" s="35">
        <v>100</v>
      </c>
      <c r="K33" s="34">
        <v>90.339277777777767</v>
      </c>
      <c r="L33" s="33">
        <v>86.914500000000004</v>
      </c>
      <c r="M33" s="34">
        <v>10.531788805801297</v>
      </c>
      <c r="N33" s="33">
        <v>73.887849999999986</v>
      </c>
      <c r="O33" s="33">
        <v>4.7940000000000005</v>
      </c>
      <c r="P33" s="34">
        <v>0.99515023991354989</v>
      </c>
      <c r="Q33" s="36">
        <v>5.9649999999999981</v>
      </c>
      <c r="R33" s="31">
        <v>12</v>
      </c>
      <c r="S33" s="32">
        <v>34</v>
      </c>
      <c r="T33" s="33">
        <v>2.8333333333333335</v>
      </c>
      <c r="U33" s="32">
        <v>4</v>
      </c>
      <c r="V33" s="32">
        <v>7</v>
      </c>
      <c r="W33" s="32">
        <v>19</v>
      </c>
      <c r="X33" s="34">
        <f t="shared" si="0"/>
        <v>1.5833333333333333</v>
      </c>
      <c r="Y33" s="35">
        <f t="shared" si="1"/>
        <v>100</v>
      </c>
      <c r="Z33" s="2">
        <v>17</v>
      </c>
      <c r="AA33" s="3">
        <v>51</v>
      </c>
      <c r="AB33" s="4">
        <v>3</v>
      </c>
      <c r="AC33" s="3">
        <v>7</v>
      </c>
      <c r="AD33" s="3">
        <v>7</v>
      </c>
      <c r="AE33" s="3">
        <v>24</v>
      </c>
      <c r="AF33" s="4">
        <v>1.411764705882353</v>
      </c>
      <c r="AG33" s="118">
        <v>100</v>
      </c>
    </row>
    <row r="34" spans="1:33" s="29" customFormat="1" ht="16.5" customHeight="1" x14ac:dyDescent="0.3">
      <c r="A34" s="220"/>
      <c r="B34" s="41" t="s">
        <v>62</v>
      </c>
      <c r="C34" s="31">
        <v>105</v>
      </c>
      <c r="D34" s="32">
        <v>553</v>
      </c>
      <c r="E34" s="33">
        <v>5.2666666666666666</v>
      </c>
      <c r="F34" s="32">
        <v>101</v>
      </c>
      <c r="G34" s="32">
        <v>93</v>
      </c>
      <c r="H34" s="32">
        <v>332</v>
      </c>
      <c r="I34" s="34">
        <v>3.1619047619047618</v>
      </c>
      <c r="J34" s="35">
        <v>40.969162995594715</v>
      </c>
      <c r="K34" s="34">
        <v>90.704650602409686</v>
      </c>
      <c r="L34" s="33">
        <v>93.18195049504952</v>
      </c>
      <c r="M34" s="34">
        <v>0.82137716250793025</v>
      </c>
      <c r="N34" s="33">
        <v>92.346999999999994</v>
      </c>
      <c r="O34" s="33">
        <v>4.3787128712871306</v>
      </c>
      <c r="P34" s="34">
        <v>0.39315848054495145</v>
      </c>
      <c r="Q34" s="36">
        <v>4.78</v>
      </c>
      <c r="R34" s="31">
        <v>150</v>
      </c>
      <c r="S34" s="32">
        <v>360</v>
      </c>
      <c r="T34" s="33">
        <v>2.4</v>
      </c>
      <c r="U34" s="32">
        <v>120</v>
      </c>
      <c r="V34" s="32">
        <v>82</v>
      </c>
      <c r="W34" s="32">
        <v>232</v>
      </c>
      <c r="X34" s="34">
        <f t="shared" si="0"/>
        <v>1.5466666666666666</v>
      </c>
      <c r="Y34" s="35">
        <f t="shared" si="1"/>
        <v>100</v>
      </c>
      <c r="Z34" s="137"/>
      <c r="AA34" s="138"/>
      <c r="AB34" s="139"/>
      <c r="AC34" s="138"/>
      <c r="AD34" s="138"/>
      <c r="AE34" s="138"/>
      <c r="AF34" s="138"/>
      <c r="AG34" s="140"/>
    </row>
    <row r="35" spans="1:33" s="29" customFormat="1" ht="16.5" customHeight="1" thickBot="1" x14ac:dyDescent="0.35">
      <c r="A35" s="220"/>
      <c r="B35" s="47" t="s">
        <v>63</v>
      </c>
      <c r="C35" s="67">
        <v>458</v>
      </c>
      <c r="D35" s="48">
        <v>2556</v>
      </c>
      <c r="E35" s="49">
        <v>5.5807860262008733</v>
      </c>
      <c r="F35" s="48">
        <v>440</v>
      </c>
      <c r="G35" s="48">
        <v>602</v>
      </c>
      <c r="H35" s="210">
        <v>1644</v>
      </c>
      <c r="I35" s="213">
        <v>3.589519650655022</v>
      </c>
      <c r="J35" s="215">
        <v>50.75885328836425</v>
      </c>
      <c r="K35" s="214">
        <v>92.133785279805295</v>
      </c>
      <c r="L35" s="49">
        <v>92.924252272727287</v>
      </c>
      <c r="M35" s="50">
        <v>3.9261991067994013</v>
      </c>
      <c r="N35" s="189"/>
      <c r="O35" s="49">
        <v>4.1738409090909077</v>
      </c>
      <c r="P35" s="50">
        <v>0.6750959676958278</v>
      </c>
      <c r="Q35" s="190"/>
      <c r="R35" s="67">
        <v>538</v>
      </c>
      <c r="S35" s="48">
        <v>1978</v>
      </c>
      <c r="T35" s="49">
        <v>3.6765799256505578</v>
      </c>
      <c r="U35" s="48">
        <v>414</v>
      </c>
      <c r="V35" s="48">
        <v>495</v>
      </c>
      <c r="W35" s="48">
        <v>1297</v>
      </c>
      <c r="X35" s="50">
        <f t="shared" si="0"/>
        <v>2.4107806691449816</v>
      </c>
      <c r="Y35" s="61">
        <f t="shared" si="1"/>
        <v>65.217391304347828</v>
      </c>
      <c r="Z35" s="15">
        <v>466</v>
      </c>
      <c r="AA35" s="6">
        <v>1735</v>
      </c>
      <c r="AB35" s="7">
        <v>3.7231759656652361</v>
      </c>
      <c r="AC35" s="6">
        <v>369</v>
      </c>
      <c r="AD35" s="6">
        <v>650</v>
      </c>
      <c r="AE35" s="6">
        <v>1205</v>
      </c>
      <c r="AF35" s="7">
        <v>2.5858369098712446</v>
      </c>
      <c r="AG35" s="119">
        <v>87.956698240866032</v>
      </c>
    </row>
    <row r="36" spans="1:33" s="29" customFormat="1" ht="16.5" customHeight="1" x14ac:dyDescent="0.3">
      <c r="A36" s="219" t="s">
        <v>65</v>
      </c>
      <c r="B36" s="62" t="s">
        <v>50</v>
      </c>
      <c r="C36" s="68">
        <v>20</v>
      </c>
      <c r="D36" s="52">
        <v>59</v>
      </c>
      <c r="E36" s="53">
        <v>2.95</v>
      </c>
      <c r="F36" s="52">
        <v>20</v>
      </c>
      <c r="G36" s="52">
        <v>10</v>
      </c>
      <c r="H36" s="52">
        <v>37</v>
      </c>
      <c r="I36" s="117">
        <v>1.85</v>
      </c>
      <c r="J36" s="63">
        <v>58.82352941176471</v>
      </c>
      <c r="K36" s="54">
        <v>88.978486486486489</v>
      </c>
      <c r="L36" s="53">
        <v>91.668750000000017</v>
      </c>
      <c r="M36" s="54">
        <v>2.4374918640885266</v>
      </c>
      <c r="N36" s="53">
        <v>89.37530000000001</v>
      </c>
      <c r="O36" s="53">
        <v>4.5584999999999996</v>
      </c>
      <c r="P36" s="55">
        <v>0.48526564889759666</v>
      </c>
      <c r="Q36" s="64">
        <v>5.1455000000000002</v>
      </c>
      <c r="R36" s="68">
        <v>20</v>
      </c>
      <c r="S36" s="52">
        <v>76</v>
      </c>
      <c r="T36" s="53">
        <v>3.8</v>
      </c>
      <c r="U36" s="52">
        <v>19</v>
      </c>
      <c r="V36" s="52">
        <v>11</v>
      </c>
      <c r="W36" s="52">
        <v>48</v>
      </c>
      <c r="X36" s="54">
        <f>W36/R36</f>
        <v>2.4</v>
      </c>
      <c r="Y36" s="63">
        <f t="shared" si="1"/>
        <v>39.285714285714285</v>
      </c>
      <c r="Z36" s="137"/>
      <c r="AA36" s="138"/>
      <c r="AB36" s="139"/>
      <c r="AC36" s="138"/>
      <c r="AD36" s="138"/>
      <c r="AE36" s="138"/>
      <c r="AF36" s="138"/>
      <c r="AG36" s="140"/>
    </row>
    <row r="37" spans="1:33" x14ac:dyDescent="0.3">
      <c r="A37" s="220"/>
      <c r="B37" s="44" t="s">
        <v>14</v>
      </c>
      <c r="C37" s="134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6"/>
      <c r="R37" s="134"/>
      <c r="S37" s="135"/>
      <c r="T37" s="135"/>
      <c r="U37" s="135"/>
      <c r="V37" s="135"/>
      <c r="W37" s="135"/>
      <c r="X37" s="135"/>
      <c r="Y37" s="135"/>
      <c r="Z37" s="2">
        <v>8</v>
      </c>
      <c r="AA37" s="3">
        <v>27</v>
      </c>
      <c r="AB37" s="4">
        <v>3.375</v>
      </c>
      <c r="AC37" s="3">
        <v>8</v>
      </c>
      <c r="AD37" s="3">
        <v>8</v>
      </c>
      <c r="AE37" s="3">
        <v>20</v>
      </c>
      <c r="AF37" s="4">
        <v>2.5</v>
      </c>
      <c r="AG37" s="118">
        <v>66.666666666666657</v>
      </c>
    </row>
    <row r="38" spans="1:33" x14ac:dyDescent="0.3">
      <c r="A38" s="220"/>
      <c r="B38" s="44" t="s">
        <v>16</v>
      </c>
      <c r="C38" s="134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6"/>
      <c r="R38" s="134"/>
      <c r="S38" s="135"/>
      <c r="T38" s="135"/>
      <c r="U38" s="135"/>
      <c r="V38" s="135"/>
      <c r="W38" s="135"/>
      <c r="X38" s="135"/>
      <c r="Y38" s="135"/>
      <c r="Z38" s="2">
        <v>8</v>
      </c>
      <c r="AA38" s="3">
        <v>27</v>
      </c>
      <c r="AB38" s="4">
        <v>3.375</v>
      </c>
      <c r="AC38" s="3">
        <v>7</v>
      </c>
      <c r="AD38" s="3">
        <v>10</v>
      </c>
      <c r="AE38" s="3">
        <v>18</v>
      </c>
      <c r="AF38" s="4">
        <v>2.25</v>
      </c>
      <c r="AG38" s="118">
        <v>100</v>
      </c>
    </row>
    <row r="39" spans="1:33" x14ac:dyDescent="0.3">
      <c r="A39" s="220"/>
      <c r="B39" s="44" t="s">
        <v>19</v>
      </c>
      <c r="C39" s="134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6"/>
      <c r="R39" s="134"/>
      <c r="S39" s="135"/>
      <c r="T39" s="135"/>
      <c r="U39" s="135"/>
      <c r="V39" s="135"/>
      <c r="W39" s="135"/>
      <c r="X39" s="135"/>
      <c r="Y39" s="135"/>
      <c r="Z39" s="2">
        <v>6</v>
      </c>
      <c r="AA39" s="3">
        <v>15</v>
      </c>
      <c r="AB39" s="4">
        <v>2.5</v>
      </c>
      <c r="AC39" s="3">
        <v>3</v>
      </c>
      <c r="AD39" s="3">
        <v>4</v>
      </c>
      <c r="AE39" s="3">
        <v>10</v>
      </c>
      <c r="AF39" s="4">
        <v>1.6666666666666667</v>
      </c>
      <c r="AG39" s="118">
        <v>100</v>
      </c>
    </row>
    <row r="40" spans="1:33" s="29" customFormat="1" ht="16.5" customHeight="1" x14ac:dyDescent="0.3">
      <c r="A40" s="220"/>
      <c r="B40" s="43" t="s">
        <v>51</v>
      </c>
      <c r="C40" s="31">
        <v>31</v>
      </c>
      <c r="D40" s="32">
        <v>131</v>
      </c>
      <c r="E40" s="33">
        <v>4.225806451612903</v>
      </c>
      <c r="F40" s="32">
        <v>31</v>
      </c>
      <c r="G40" s="32">
        <v>25</v>
      </c>
      <c r="H40" s="32">
        <v>97</v>
      </c>
      <c r="I40" s="34">
        <v>3.129032258064516</v>
      </c>
      <c r="J40" s="35">
        <v>37.878787878787875</v>
      </c>
      <c r="K40" s="34">
        <v>92.267360824742255</v>
      </c>
      <c r="L40" s="33">
        <v>93.692516129032271</v>
      </c>
      <c r="M40" s="34">
        <v>0.54353780596171031</v>
      </c>
      <c r="N40" s="33">
        <v>93.067000000000007</v>
      </c>
      <c r="O40" s="33">
        <v>4.1145161290322578</v>
      </c>
      <c r="P40" s="37">
        <v>0.31638929378808656</v>
      </c>
      <c r="Q40" s="36">
        <v>4.4649999999999999</v>
      </c>
      <c r="R40" s="31">
        <v>31</v>
      </c>
      <c r="S40" s="32">
        <v>131</v>
      </c>
      <c r="T40" s="33">
        <v>4.225806451612903</v>
      </c>
      <c r="U40" s="32">
        <v>29</v>
      </c>
      <c r="V40" s="32">
        <v>30</v>
      </c>
      <c r="W40" s="32">
        <v>97</v>
      </c>
      <c r="X40" s="34">
        <f t="shared" ref="X40:X45" si="2">W40/R40</f>
        <v>3.129032258064516</v>
      </c>
      <c r="Y40" s="35">
        <f t="shared" si="1"/>
        <v>45.454545454545453</v>
      </c>
      <c r="Z40" s="137"/>
      <c r="AA40" s="138"/>
      <c r="AB40" s="139"/>
      <c r="AC40" s="138"/>
      <c r="AD40" s="138"/>
      <c r="AE40" s="138"/>
      <c r="AF40" s="138"/>
      <c r="AG40" s="140"/>
    </row>
    <row r="41" spans="1:33" x14ac:dyDescent="0.3">
      <c r="A41" s="220"/>
      <c r="B41" s="45" t="s">
        <v>12</v>
      </c>
      <c r="C41" s="134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6"/>
      <c r="R41" s="134"/>
      <c r="S41" s="135"/>
      <c r="T41" s="135"/>
      <c r="U41" s="135"/>
      <c r="V41" s="135"/>
      <c r="W41" s="135"/>
      <c r="X41" s="135"/>
      <c r="Y41" s="135"/>
      <c r="Z41" s="8">
        <v>14</v>
      </c>
      <c r="AA41" s="9">
        <v>52</v>
      </c>
      <c r="AB41" s="10">
        <v>3.7142857142857144</v>
      </c>
      <c r="AC41" s="9">
        <v>13</v>
      </c>
      <c r="AD41" s="9">
        <v>30</v>
      </c>
      <c r="AE41" s="9">
        <v>44</v>
      </c>
      <c r="AF41" s="10">
        <v>3.1428571428571428</v>
      </c>
      <c r="AG41" s="120">
        <v>100</v>
      </c>
    </row>
    <row r="42" spans="1:33" x14ac:dyDescent="0.3">
      <c r="A42" s="220"/>
      <c r="B42" s="44" t="s">
        <v>13</v>
      </c>
      <c r="C42" s="134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6"/>
      <c r="R42" s="134"/>
      <c r="S42" s="135"/>
      <c r="T42" s="135"/>
      <c r="U42" s="135"/>
      <c r="V42" s="135"/>
      <c r="W42" s="135"/>
      <c r="X42" s="135"/>
      <c r="Y42" s="135"/>
      <c r="Z42" s="134"/>
      <c r="AA42" s="135"/>
      <c r="AB42" s="141"/>
      <c r="AC42" s="135"/>
      <c r="AD42" s="135"/>
      <c r="AE42" s="135"/>
      <c r="AF42" s="141"/>
      <c r="AG42" s="142"/>
    </row>
    <row r="43" spans="1:33" x14ac:dyDescent="0.3">
      <c r="A43" s="220"/>
      <c r="B43" s="44" t="s">
        <v>45</v>
      </c>
      <c r="C43" s="134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6"/>
      <c r="R43" s="134"/>
      <c r="S43" s="135"/>
      <c r="T43" s="135"/>
      <c r="U43" s="135"/>
      <c r="V43" s="135"/>
      <c r="W43" s="135"/>
      <c r="X43" s="135"/>
      <c r="Y43" s="135"/>
      <c r="Z43" s="2">
        <v>21</v>
      </c>
      <c r="AA43" s="3">
        <v>71</v>
      </c>
      <c r="AB43" s="4">
        <v>3.3809523809523809</v>
      </c>
      <c r="AC43" s="3">
        <v>21</v>
      </c>
      <c r="AD43" s="3">
        <v>24</v>
      </c>
      <c r="AE43" s="3">
        <v>49</v>
      </c>
      <c r="AF43" s="4">
        <v>2.3333333333333335</v>
      </c>
      <c r="AG43" s="118">
        <v>85.714285714285708</v>
      </c>
    </row>
    <row r="44" spans="1:33" s="29" customFormat="1" ht="16.5" customHeight="1" x14ac:dyDescent="0.3">
      <c r="A44" s="220"/>
      <c r="B44" s="43" t="s">
        <v>52</v>
      </c>
      <c r="C44" s="31">
        <v>9</v>
      </c>
      <c r="D44" s="32">
        <v>50</v>
      </c>
      <c r="E44" s="33">
        <v>5.5555555555555554</v>
      </c>
      <c r="F44" s="32">
        <v>8</v>
      </c>
      <c r="G44" s="38">
        <v>6</v>
      </c>
      <c r="H44" s="211">
        <v>28</v>
      </c>
      <c r="I44" s="212">
        <v>3.1111111111111112</v>
      </c>
      <c r="J44" s="217">
        <v>31.578947368421051</v>
      </c>
      <c r="K44" s="212">
        <v>91.253535714285718</v>
      </c>
      <c r="L44" s="33">
        <v>92.974249999999998</v>
      </c>
      <c r="M44" s="34">
        <v>0.9442112779988292</v>
      </c>
      <c r="N44" s="33">
        <v>92.104150000000004</v>
      </c>
      <c r="O44" s="33">
        <v>4.2799999999999994</v>
      </c>
      <c r="P44" s="37">
        <v>0.40152833025828361</v>
      </c>
      <c r="Q44" s="36">
        <v>4.6345000000000001</v>
      </c>
      <c r="R44" s="31">
        <v>9</v>
      </c>
      <c r="S44" s="32">
        <v>27</v>
      </c>
      <c r="T44" s="33">
        <v>3</v>
      </c>
      <c r="U44" s="32">
        <v>3</v>
      </c>
      <c r="V44" s="38" t="s">
        <v>47</v>
      </c>
      <c r="W44" s="32">
        <v>7</v>
      </c>
      <c r="X44" s="34">
        <f t="shared" si="2"/>
        <v>0.77777777777777779</v>
      </c>
      <c r="Y44" s="39" t="s">
        <v>47</v>
      </c>
      <c r="Z44" s="2">
        <v>9</v>
      </c>
      <c r="AA44" s="3">
        <v>30</v>
      </c>
      <c r="AB44" s="4">
        <v>3.3333333333333335</v>
      </c>
      <c r="AC44" s="3">
        <v>6</v>
      </c>
      <c r="AD44" s="3">
        <v>4</v>
      </c>
      <c r="AE44" s="3">
        <v>13</v>
      </c>
      <c r="AF44" s="4">
        <v>1.4444444444444444</v>
      </c>
      <c r="AG44" s="118">
        <v>100</v>
      </c>
    </row>
    <row r="45" spans="1:33" s="29" customFormat="1" ht="16.5" customHeight="1" x14ac:dyDescent="0.3">
      <c r="A45" s="220"/>
      <c r="B45" s="43" t="s">
        <v>53</v>
      </c>
      <c r="C45" s="31">
        <v>8</v>
      </c>
      <c r="D45" s="32">
        <v>25</v>
      </c>
      <c r="E45" s="33">
        <v>3.125</v>
      </c>
      <c r="F45" s="32">
        <v>6</v>
      </c>
      <c r="G45" s="32">
        <v>6</v>
      </c>
      <c r="H45" s="32">
        <v>14</v>
      </c>
      <c r="I45" s="34">
        <v>1.75</v>
      </c>
      <c r="J45" s="35">
        <v>100</v>
      </c>
      <c r="K45" s="34">
        <v>86.070571428571455</v>
      </c>
      <c r="L45" s="33">
        <v>89.928666666666643</v>
      </c>
      <c r="M45" s="34">
        <v>2.7573571082154618</v>
      </c>
      <c r="N45" s="33">
        <v>87.177500000000009</v>
      </c>
      <c r="O45" s="33">
        <v>4.7966666666666669</v>
      </c>
      <c r="P45" s="37">
        <v>0.5479557970818052</v>
      </c>
      <c r="Q45" s="36">
        <v>5.3949999999999996</v>
      </c>
      <c r="R45" s="31">
        <v>8</v>
      </c>
      <c r="S45" s="32">
        <v>21</v>
      </c>
      <c r="T45" s="33">
        <v>2.625</v>
      </c>
      <c r="U45" s="32">
        <v>7</v>
      </c>
      <c r="V45" s="32">
        <v>5</v>
      </c>
      <c r="W45" s="32">
        <v>13</v>
      </c>
      <c r="X45" s="34">
        <f t="shared" si="2"/>
        <v>1.625</v>
      </c>
      <c r="Y45" s="35">
        <f t="shared" si="1"/>
        <v>100</v>
      </c>
      <c r="Z45" s="137"/>
      <c r="AA45" s="138"/>
      <c r="AB45" s="139"/>
      <c r="AC45" s="138"/>
      <c r="AD45" s="138"/>
      <c r="AE45" s="138"/>
      <c r="AF45" s="138"/>
      <c r="AG45" s="140"/>
    </row>
    <row r="46" spans="1:33" x14ac:dyDescent="0.3">
      <c r="A46" s="220"/>
      <c r="B46" s="44" t="s">
        <v>46</v>
      </c>
      <c r="C46" s="134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6"/>
      <c r="R46" s="134"/>
      <c r="S46" s="135"/>
      <c r="T46" s="135"/>
      <c r="U46" s="135"/>
      <c r="V46" s="135"/>
      <c r="W46" s="135"/>
      <c r="X46" s="135"/>
      <c r="Y46" s="135"/>
      <c r="Z46" s="2">
        <v>12</v>
      </c>
      <c r="AA46" s="3">
        <v>28</v>
      </c>
      <c r="AB46" s="4">
        <v>2.3333333333333335</v>
      </c>
      <c r="AC46" s="3">
        <v>6</v>
      </c>
      <c r="AD46" s="3">
        <v>9</v>
      </c>
      <c r="AE46" s="3">
        <v>21</v>
      </c>
      <c r="AF46" s="4">
        <v>1.75</v>
      </c>
      <c r="AG46" s="118">
        <v>100</v>
      </c>
    </row>
    <row r="47" spans="1:33" x14ac:dyDescent="0.3">
      <c r="A47" s="220"/>
      <c r="B47" s="44" t="s">
        <v>21</v>
      </c>
      <c r="C47" s="134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6"/>
      <c r="R47" s="134"/>
      <c r="S47" s="135"/>
      <c r="T47" s="135"/>
      <c r="U47" s="135"/>
      <c r="V47" s="135"/>
      <c r="W47" s="135"/>
      <c r="X47" s="135"/>
      <c r="Y47" s="135"/>
      <c r="Z47" s="2">
        <v>6</v>
      </c>
      <c r="AA47" s="3">
        <v>14</v>
      </c>
      <c r="AB47" s="4">
        <v>2.3333333333333335</v>
      </c>
      <c r="AC47" s="3">
        <v>2</v>
      </c>
      <c r="AD47" s="3">
        <v>4</v>
      </c>
      <c r="AE47" s="3">
        <v>10</v>
      </c>
      <c r="AF47" s="4">
        <v>1.6666666666666667</v>
      </c>
      <c r="AG47" s="118">
        <v>100</v>
      </c>
    </row>
    <row r="48" spans="1:33" s="29" customFormat="1" ht="16.5" customHeight="1" x14ac:dyDescent="0.3">
      <c r="A48" s="220"/>
      <c r="B48" s="43" t="s">
        <v>55</v>
      </c>
      <c r="C48" s="31">
        <v>32</v>
      </c>
      <c r="D48" s="32">
        <v>189</v>
      </c>
      <c r="E48" s="33">
        <v>5.90625</v>
      </c>
      <c r="F48" s="32">
        <v>31</v>
      </c>
      <c r="G48" s="32">
        <v>37</v>
      </c>
      <c r="H48" s="32">
        <v>157</v>
      </c>
      <c r="I48" s="34">
        <v>4.90625</v>
      </c>
      <c r="J48" s="35">
        <v>29.599999999999998</v>
      </c>
      <c r="K48" s="34">
        <v>93.686987261146498</v>
      </c>
      <c r="L48" s="33">
        <v>94.893161290322581</v>
      </c>
      <c r="M48" s="34">
        <v>0.80317157998148014</v>
      </c>
      <c r="N48" s="33">
        <v>94.353999999999999</v>
      </c>
      <c r="O48" s="33">
        <v>3.5532258064516125</v>
      </c>
      <c r="P48" s="37">
        <v>0.40121096611886214</v>
      </c>
      <c r="Q48" s="36">
        <v>3.82</v>
      </c>
      <c r="R48" s="31">
        <v>32</v>
      </c>
      <c r="S48" s="32">
        <v>110</v>
      </c>
      <c r="T48" s="33">
        <v>3.4375</v>
      </c>
      <c r="U48" s="32">
        <v>32</v>
      </c>
      <c r="V48" s="32">
        <v>43</v>
      </c>
      <c r="W48" s="32">
        <v>91</v>
      </c>
      <c r="X48" s="34">
        <f t="shared" ref="X48:X53" si="3">W48/R48</f>
        <v>2.84375</v>
      </c>
      <c r="Y48" s="35">
        <f t="shared" si="1"/>
        <v>72.881355932203391</v>
      </c>
      <c r="Z48" s="2">
        <v>34</v>
      </c>
      <c r="AA48" s="3">
        <v>143</v>
      </c>
      <c r="AB48" s="4">
        <v>4.2058823529411766</v>
      </c>
      <c r="AC48" s="3">
        <v>34</v>
      </c>
      <c r="AD48" s="3">
        <v>65</v>
      </c>
      <c r="AE48" s="3">
        <v>121</v>
      </c>
      <c r="AF48" s="4">
        <v>3.5588235294117645</v>
      </c>
      <c r="AG48" s="118">
        <v>74.712643678160916</v>
      </c>
    </row>
    <row r="49" spans="1:33" s="29" customFormat="1" ht="16.5" customHeight="1" x14ac:dyDescent="0.3">
      <c r="A49" s="220"/>
      <c r="B49" s="43" t="s">
        <v>56</v>
      </c>
      <c r="C49" s="31">
        <v>20</v>
      </c>
      <c r="D49" s="32">
        <v>105</v>
      </c>
      <c r="E49" s="33">
        <v>5.25</v>
      </c>
      <c r="F49" s="32">
        <v>20</v>
      </c>
      <c r="G49" s="32">
        <v>48</v>
      </c>
      <c r="H49" s="32">
        <v>89</v>
      </c>
      <c r="I49" s="34">
        <v>4.45</v>
      </c>
      <c r="J49" s="35">
        <v>69.565217391304344</v>
      </c>
      <c r="K49" s="34">
        <v>93.771876404494407</v>
      </c>
      <c r="L49" s="33">
        <v>94.403749999999974</v>
      </c>
      <c r="M49" s="34">
        <v>0.76119891454557786</v>
      </c>
      <c r="N49" s="33">
        <v>93.453950000000006</v>
      </c>
      <c r="O49" s="33">
        <v>3.7990000000000004</v>
      </c>
      <c r="P49" s="37">
        <v>0.38035378268133335</v>
      </c>
      <c r="Q49" s="36">
        <v>4.2744999999999997</v>
      </c>
      <c r="R49" s="31">
        <v>18</v>
      </c>
      <c r="S49" s="32">
        <v>66</v>
      </c>
      <c r="T49" s="33">
        <v>3.6666666666666665</v>
      </c>
      <c r="U49" s="32">
        <v>18</v>
      </c>
      <c r="V49" s="32">
        <v>22</v>
      </c>
      <c r="W49" s="32">
        <v>51</v>
      </c>
      <c r="X49" s="34">
        <f t="shared" si="3"/>
        <v>2.8333333333333335</v>
      </c>
      <c r="Y49" s="35">
        <f t="shared" si="1"/>
        <v>66.666666666666657</v>
      </c>
      <c r="Z49" s="137"/>
      <c r="AA49" s="138"/>
      <c r="AB49" s="139"/>
      <c r="AC49" s="138"/>
      <c r="AD49" s="138"/>
      <c r="AE49" s="138"/>
      <c r="AF49" s="138"/>
      <c r="AG49" s="140"/>
    </row>
    <row r="50" spans="1:33" x14ac:dyDescent="0.3">
      <c r="A50" s="220"/>
      <c r="B50" s="44" t="s">
        <v>17</v>
      </c>
      <c r="C50" s="134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6"/>
      <c r="R50" s="134"/>
      <c r="S50" s="135"/>
      <c r="T50" s="135"/>
      <c r="U50" s="135"/>
      <c r="V50" s="135"/>
      <c r="W50" s="135"/>
      <c r="X50" s="135"/>
      <c r="Y50" s="135"/>
      <c r="Z50" s="2">
        <v>12</v>
      </c>
      <c r="AA50" s="3">
        <v>53</v>
      </c>
      <c r="AB50" s="4">
        <v>4.416666666666667</v>
      </c>
      <c r="AC50" s="3">
        <v>11</v>
      </c>
      <c r="AD50" s="3">
        <v>25</v>
      </c>
      <c r="AE50" s="3">
        <v>45</v>
      </c>
      <c r="AF50" s="4">
        <v>3.75</v>
      </c>
      <c r="AG50" s="118">
        <v>75.757575757575751</v>
      </c>
    </row>
    <row r="51" spans="1:33" x14ac:dyDescent="0.3">
      <c r="A51" s="220"/>
      <c r="B51" s="44" t="s">
        <v>18</v>
      </c>
      <c r="C51" s="13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6"/>
      <c r="R51" s="134"/>
      <c r="S51" s="135"/>
      <c r="T51" s="135"/>
      <c r="U51" s="135"/>
      <c r="V51" s="135"/>
      <c r="W51" s="135"/>
      <c r="X51" s="135"/>
      <c r="Y51" s="135"/>
      <c r="Z51" s="2">
        <v>10</v>
      </c>
      <c r="AA51" s="3">
        <v>40</v>
      </c>
      <c r="AB51" s="4">
        <v>4</v>
      </c>
      <c r="AC51" s="3">
        <v>10</v>
      </c>
      <c r="AD51" s="3">
        <v>16</v>
      </c>
      <c r="AE51" s="3">
        <v>37</v>
      </c>
      <c r="AF51" s="4">
        <v>3.7</v>
      </c>
      <c r="AG51" s="118">
        <v>59.259259259259252</v>
      </c>
    </row>
    <row r="52" spans="1:33" s="29" customFormat="1" ht="16.5" customHeight="1" x14ac:dyDescent="0.3">
      <c r="A52" s="220"/>
      <c r="B52" s="43" t="s">
        <v>57</v>
      </c>
      <c r="C52" s="143"/>
      <c r="D52" s="144"/>
      <c r="E52" s="145"/>
      <c r="F52" s="144"/>
      <c r="G52" s="144"/>
      <c r="H52" s="144"/>
      <c r="I52" s="146"/>
      <c r="J52" s="147"/>
      <c r="K52" s="146"/>
      <c r="L52" s="145"/>
      <c r="M52" s="146"/>
      <c r="N52" s="145"/>
      <c r="O52" s="145"/>
      <c r="P52" s="149"/>
      <c r="Q52" s="148"/>
      <c r="R52" s="31">
        <v>7</v>
      </c>
      <c r="S52" s="32">
        <v>24</v>
      </c>
      <c r="T52" s="33">
        <v>3.4285714285714284</v>
      </c>
      <c r="U52" s="32">
        <v>7</v>
      </c>
      <c r="V52" s="32">
        <v>7</v>
      </c>
      <c r="W52" s="32">
        <v>18</v>
      </c>
      <c r="X52" s="34">
        <f t="shared" si="3"/>
        <v>2.5714285714285716</v>
      </c>
      <c r="Y52" s="35">
        <f t="shared" si="1"/>
        <v>63.636363636363633</v>
      </c>
      <c r="Z52" s="2">
        <v>9</v>
      </c>
      <c r="AA52" s="3">
        <v>23</v>
      </c>
      <c r="AB52" s="4">
        <v>2.5555555555555554</v>
      </c>
      <c r="AC52" s="3">
        <v>7</v>
      </c>
      <c r="AD52" s="3">
        <v>9</v>
      </c>
      <c r="AE52" s="3">
        <v>18</v>
      </c>
      <c r="AF52" s="4">
        <v>2</v>
      </c>
      <c r="AG52" s="118">
        <v>100</v>
      </c>
    </row>
    <row r="53" spans="1:33" s="29" customFormat="1" ht="16.5" customHeight="1" x14ac:dyDescent="0.3">
      <c r="A53" s="220"/>
      <c r="B53" s="43" t="s">
        <v>58</v>
      </c>
      <c r="C53" s="31">
        <v>6</v>
      </c>
      <c r="D53" s="32">
        <v>17</v>
      </c>
      <c r="E53" s="33">
        <v>2.8333333333333335</v>
      </c>
      <c r="F53" s="32">
        <v>6</v>
      </c>
      <c r="G53" s="32">
        <v>6</v>
      </c>
      <c r="H53" s="32">
        <v>13</v>
      </c>
      <c r="I53" s="34">
        <v>2.1666666666666665</v>
      </c>
      <c r="J53" s="35">
        <v>85.714285714285708</v>
      </c>
      <c r="K53" s="34">
        <v>89.925923076923084</v>
      </c>
      <c r="L53" s="33">
        <v>90.282666666666657</v>
      </c>
      <c r="M53" s="34">
        <v>3.9027363335091758</v>
      </c>
      <c r="N53" s="33">
        <v>85.742750000000001</v>
      </c>
      <c r="O53" s="33">
        <v>4.5750000000000002</v>
      </c>
      <c r="P53" s="37">
        <v>0.62627869195749419</v>
      </c>
      <c r="Q53" s="36">
        <v>5.1475</v>
      </c>
      <c r="R53" s="31">
        <v>6</v>
      </c>
      <c r="S53" s="32">
        <v>19</v>
      </c>
      <c r="T53" s="33">
        <v>3.1666666666666665</v>
      </c>
      <c r="U53" s="32">
        <v>6</v>
      </c>
      <c r="V53" s="32">
        <v>4</v>
      </c>
      <c r="W53" s="32">
        <v>14</v>
      </c>
      <c r="X53" s="34">
        <f t="shared" si="3"/>
        <v>2.3333333333333335</v>
      </c>
      <c r="Y53" s="35">
        <f t="shared" si="1"/>
        <v>50</v>
      </c>
      <c r="Z53" s="137"/>
      <c r="AA53" s="138"/>
      <c r="AB53" s="139"/>
      <c r="AC53" s="138"/>
      <c r="AD53" s="138"/>
      <c r="AE53" s="138"/>
      <c r="AF53" s="138"/>
      <c r="AG53" s="140"/>
    </row>
    <row r="54" spans="1:33" x14ac:dyDescent="0.3">
      <c r="A54" s="220"/>
      <c r="B54" s="44" t="s">
        <v>36</v>
      </c>
      <c r="C54" s="134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6"/>
      <c r="R54" s="134"/>
      <c r="S54" s="135"/>
      <c r="T54" s="135"/>
      <c r="U54" s="135"/>
      <c r="V54" s="135"/>
      <c r="W54" s="135"/>
      <c r="X54" s="135"/>
      <c r="Y54" s="135"/>
      <c r="Z54" s="2">
        <v>6</v>
      </c>
      <c r="AA54" s="3">
        <v>14</v>
      </c>
      <c r="AB54" s="4">
        <v>2.3333333333333335</v>
      </c>
      <c r="AC54" s="3">
        <v>0</v>
      </c>
      <c r="AD54" s="3">
        <v>2</v>
      </c>
      <c r="AE54" s="3">
        <v>8</v>
      </c>
      <c r="AF54" s="4">
        <v>1.3333333333333333</v>
      </c>
      <c r="AG54" s="118">
        <v>100</v>
      </c>
    </row>
    <row r="55" spans="1:33" x14ac:dyDescent="0.3">
      <c r="A55" s="220"/>
      <c r="B55" s="44" t="s">
        <v>38</v>
      </c>
      <c r="C55" s="134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6"/>
      <c r="R55" s="134"/>
      <c r="S55" s="135"/>
      <c r="T55" s="135"/>
      <c r="U55" s="135"/>
      <c r="V55" s="135"/>
      <c r="W55" s="135"/>
      <c r="X55" s="135"/>
      <c r="Y55" s="135"/>
      <c r="Z55" s="2">
        <v>5</v>
      </c>
      <c r="AA55" s="3">
        <v>20</v>
      </c>
      <c r="AB55" s="4">
        <v>4</v>
      </c>
      <c r="AC55" s="3">
        <v>5</v>
      </c>
      <c r="AD55" s="3">
        <v>9</v>
      </c>
      <c r="AE55" s="3">
        <v>16</v>
      </c>
      <c r="AF55" s="4">
        <v>3.2</v>
      </c>
      <c r="AG55" s="118">
        <v>81.818181818181827</v>
      </c>
    </row>
    <row r="56" spans="1:33" x14ac:dyDescent="0.3">
      <c r="A56" s="220"/>
      <c r="B56" s="44" t="s">
        <v>20</v>
      </c>
      <c r="C56" s="134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6"/>
      <c r="R56" s="134"/>
      <c r="S56" s="135"/>
      <c r="T56" s="135"/>
      <c r="U56" s="135"/>
      <c r="V56" s="135"/>
      <c r="W56" s="135"/>
      <c r="X56" s="135"/>
      <c r="Y56" s="135"/>
      <c r="Z56" s="2">
        <v>6</v>
      </c>
      <c r="AA56" s="3">
        <v>11</v>
      </c>
      <c r="AB56" s="4">
        <v>1.8333333333333333</v>
      </c>
      <c r="AC56" s="3">
        <v>1</v>
      </c>
      <c r="AD56" s="18" t="s">
        <v>47</v>
      </c>
      <c r="AE56" s="3">
        <v>4</v>
      </c>
      <c r="AF56" s="4">
        <v>0.66666666666666663</v>
      </c>
      <c r="AG56" s="121" t="s">
        <v>47</v>
      </c>
    </row>
    <row r="57" spans="1:33" s="29" customFormat="1" ht="16.5" customHeight="1" x14ac:dyDescent="0.3">
      <c r="A57" s="220"/>
      <c r="B57" s="43" t="s">
        <v>60</v>
      </c>
      <c r="C57" s="31">
        <v>9</v>
      </c>
      <c r="D57" s="32">
        <v>25</v>
      </c>
      <c r="E57" s="33">
        <v>2.7777777777777777</v>
      </c>
      <c r="F57" s="32">
        <v>5</v>
      </c>
      <c r="G57" s="32">
        <v>7</v>
      </c>
      <c r="H57" s="32">
        <v>16</v>
      </c>
      <c r="I57" s="34">
        <v>1.7777777777777777</v>
      </c>
      <c r="J57" s="35">
        <v>100</v>
      </c>
      <c r="K57" s="34">
        <v>89.385187500000001</v>
      </c>
      <c r="L57" s="33">
        <v>90.395599999999988</v>
      </c>
      <c r="M57" s="34">
        <v>5.6713006832649562</v>
      </c>
      <c r="N57" s="33">
        <v>87.171000000000006</v>
      </c>
      <c r="O57" s="33">
        <v>4.6420000000000003</v>
      </c>
      <c r="P57" s="37">
        <v>0.55354855252271651</v>
      </c>
      <c r="Q57" s="36">
        <v>5.0960000000000001</v>
      </c>
      <c r="R57" s="31">
        <v>9</v>
      </c>
      <c r="S57" s="32">
        <v>18</v>
      </c>
      <c r="T57" s="33">
        <v>2</v>
      </c>
      <c r="U57" s="32">
        <v>3</v>
      </c>
      <c r="V57" s="32">
        <v>4</v>
      </c>
      <c r="W57" s="32">
        <v>13</v>
      </c>
      <c r="X57" s="34">
        <f t="shared" ref="X57:X60" si="4">W57/R57</f>
        <v>1.4444444444444444</v>
      </c>
      <c r="Y57" s="35">
        <f t="shared" si="1"/>
        <v>100</v>
      </c>
      <c r="Z57" s="2">
        <v>6</v>
      </c>
      <c r="AA57" s="3">
        <v>15</v>
      </c>
      <c r="AB57" s="4">
        <v>2.5</v>
      </c>
      <c r="AC57" s="3">
        <v>3</v>
      </c>
      <c r="AD57" s="3">
        <v>3</v>
      </c>
      <c r="AE57" s="3">
        <v>9</v>
      </c>
      <c r="AF57" s="4">
        <v>1.5</v>
      </c>
      <c r="AG57" s="118">
        <v>100</v>
      </c>
    </row>
    <row r="58" spans="1:33" s="29" customFormat="1" ht="16.5" customHeight="1" x14ac:dyDescent="0.3">
      <c r="A58" s="220"/>
      <c r="B58" s="43" t="s">
        <v>61</v>
      </c>
      <c r="C58" s="31">
        <v>6</v>
      </c>
      <c r="D58" s="32">
        <v>20</v>
      </c>
      <c r="E58" s="33">
        <v>3.3333333333333335</v>
      </c>
      <c r="F58" s="32">
        <v>5</v>
      </c>
      <c r="G58" s="38">
        <v>2</v>
      </c>
      <c r="H58" s="32">
        <v>12</v>
      </c>
      <c r="I58" s="34">
        <v>2</v>
      </c>
      <c r="J58" s="39">
        <v>33.333333333333329</v>
      </c>
      <c r="K58" s="34">
        <v>88.63066666666667</v>
      </c>
      <c r="L58" s="33">
        <v>92.731799999999993</v>
      </c>
      <c r="M58" s="34">
        <v>0.99524115670457092</v>
      </c>
      <c r="N58" s="33">
        <v>91.550600000000003</v>
      </c>
      <c r="O58" s="33">
        <v>4.2279999999999998</v>
      </c>
      <c r="P58" s="37">
        <v>0.26596240335806753</v>
      </c>
      <c r="Q58" s="36">
        <v>4.4379999999999997</v>
      </c>
      <c r="R58" s="31">
        <v>6</v>
      </c>
      <c r="S58" s="32">
        <v>15</v>
      </c>
      <c r="T58" s="33">
        <v>2.5</v>
      </c>
      <c r="U58" s="32">
        <v>3</v>
      </c>
      <c r="V58" s="38" t="s">
        <v>66</v>
      </c>
      <c r="W58" s="32">
        <v>6</v>
      </c>
      <c r="X58" s="34">
        <f t="shared" si="4"/>
        <v>1</v>
      </c>
      <c r="Y58" s="39" t="s">
        <v>66</v>
      </c>
      <c r="Z58" s="2">
        <v>6</v>
      </c>
      <c r="AA58" s="3">
        <v>17</v>
      </c>
      <c r="AB58" s="4">
        <v>2.8333333333333335</v>
      </c>
      <c r="AC58" s="3">
        <v>2</v>
      </c>
      <c r="AD58" s="3">
        <v>2</v>
      </c>
      <c r="AE58" s="3">
        <v>8</v>
      </c>
      <c r="AF58" s="4">
        <v>1.3333333333333333</v>
      </c>
      <c r="AG58" s="118">
        <v>100</v>
      </c>
    </row>
    <row r="59" spans="1:33" s="29" customFormat="1" ht="16.5" customHeight="1" x14ac:dyDescent="0.3">
      <c r="A59" s="220"/>
      <c r="B59" s="43" t="s">
        <v>62</v>
      </c>
      <c r="C59" s="31">
        <v>65</v>
      </c>
      <c r="D59" s="32">
        <v>243</v>
      </c>
      <c r="E59" s="33">
        <v>3.7384615384615385</v>
      </c>
      <c r="F59" s="32">
        <v>65</v>
      </c>
      <c r="G59" s="32">
        <v>45</v>
      </c>
      <c r="H59" s="32">
        <v>162</v>
      </c>
      <c r="I59" s="34">
        <v>2.4923076923076923</v>
      </c>
      <c r="J59" s="35">
        <v>46.391752577319586</v>
      </c>
      <c r="K59" s="34">
        <v>88.707302469135854</v>
      </c>
      <c r="L59" s="33">
        <v>91.927661538461507</v>
      </c>
      <c r="M59" s="34">
        <v>1.6706641450172426</v>
      </c>
      <c r="N59" s="33">
        <v>90.067000000000007</v>
      </c>
      <c r="O59" s="33">
        <v>4.6109230769230773</v>
      </c>
      <c r="P59" s="37">
        <v>0.4850875355642108</v>
      </c>
      <c r="Q59" s="36">
        <v>5.0880000000000001</v>
      </c>
      <c r="R59" s="31">
        <v>90</v>
      </c>
      <c r="S59" s="32">
        <v>208</v>
      </c>
      <c r="T59" s="33">
        <v>2.3111111111111109</v>
      </c>
      <c r="U59" s="32">
        <v>79</v>
      </c>
      <c r="V59" s="32">
        <v>48</v>
      </c>
      <c r="W59" s="32">
        <v>138</v>
      </c>
      <c r="X59" s="34">
        <f t="shared" si="4"/>
        <v>1.5333333333333334</v>
      </c>
      <c r="Y59" s="35">
        <f t="shared" si="1"/>
        <v>100</v>
      </c>
      <c r="Z59" s="137"/>
      <c r="AA59" s="138"/>
      <c r="AB59" s="139"/>
      <c r="AC59" s="138"/>
      <c r="AD59" s="138"/>
      <c r="AE59" s="138"/>
      <c r="AF59" s="138"/>
      <c r="AG59" s="140"/>
    </row>
    <row r="60" spans="1:33" s="29" customFormat="1" ht="16.5" customHeight="1" thickBot="1" x14ac:dyDescent="0.35">
      <c r="A60" s="221"/>
      <c r="B60" s="65" t="s">
        <v>63</v>
      </c>
      <c r="C60" s="69">
        <v>206</v>
      </c>
      <c r="D60" s="57">
        <v>864</v>
      </c>
      <c r="E60" s="58">
        <v>4.1941747572815533</v>
      </c>
      <c r="F60" s="57">
        <v>197</v>
      </c>
      <c r="G60" s="57">
        <v>192</v>
      </c>
      <c r="H60" s="216">
        <v>625</v>
      </c>
      <c r="I60" s="212">
        <v>3.0339805825242721</v>
      </c>
      <c r="J60" s="218">
        <v>45.823389021479713</v>
      </c>
      <c r="K60" s="213">
        <v>91.344208000000037</v>
      </c>
      <c r="L60" s="58">
        <v>92.810167512690455</v>
      </c>
      <c r="M60" s="59">
        <v>2.3136735611475916</v>
      </c>
      <c r="N60" s="150"/>
      <c r="O60" s="58">
        <v>4.2608121827411178</v>
      </c>
      <c r="P60" s="60">
        <v>0.60270822823277925</v>
      </c>
      <c r="Q60" s="151"/>
      <c r="R60" s="69">
        <v>236</v>
      </c>
      <c r="S60" s="57">
        <v>715</v>
      </c>
      <c r="T60" s="58">
        <v>3.0296610169491527</v>
      </c>
      <c r="U60" s="57">
        <v>206</v>
      </c>
      <c r="V60" s="57">
        <v>174</v>
      </c>
      <c r="W60" s="57">
        <v>496</v>
      </c>
      <c r="X60" s="59">
        <f t="shared" si="4"/>
        <v>2.1016949152542375</v>
      </c>
      <c r="Y60" s="66">
        <f t="shared" si="1"/>
        <v>66.92307692307692</v>
      </c>
      <c r="Z60" s="5">
        <v>209</v>
      </c>
      <c r="AA60" s="6">
        <v>684</v>
      </c>
      <c r="AB60" s="7">
        <v>3.2727272727272729</v>
      </c>
      <c r="AC60" s="6">
        <v>166</v>
      </c>
      <c r="AD60" s="6">
        <v>250</v>
      </c>
      <c r="AE60" s="6">
        <v>508</v>
      </c>
      <c r="AF60" s="7">
        <v>2.4306220095693778</v>
      </c>
      <c r="AG60" s="119">
        <v>83.61204013377926</v>
      </c>
    </row>
    <row r="61" spans="1:33" s="29" customFormat="1" ht="16.5" customHeight="1" x14ac:dyDescent="0.3">
      <c r="A61" s="219" t="s">
        <v>67</v>
      </c>
      <c r="B61" s="51" t="s">
        <v>50</v>
      </c>
      <c r="C61" s="68">
        <v>5</v>
      </c>
      <c r="D61" s="52">
        <v>22</v>
      </c>
      <c r="E61" s="53">
        <v>4.4000000000000004</v>
      </c>
      <c r="F61" s="52">
        <v>5</v>
      </c>
      <c r="G61" s="52">
        <v>5</v>
      </c>
      <c r="H61" s="152"/>
      <c r="I61" s="153"/>
      <c r="J61" s="154"/>
      <c r="K61" s="153"/>
      <c r="L61" s="53">
        <v>92.613</v>
      </c>
      <c r="M61" s="54">
        <v>0.96435346217127771</v>
      </c>
      <c r="N61" s="155"/>
      <c r="O61" s="53">
        <v>4.694</v>
      </c>
      <c r="P61" s="55">
        <v>0.48197925266551023</v>
      </c>
      <c r="Q61" s="156"/>
      <c r="R61" s="68">
        <v>5</v>
      </c>
      <c r="S61" s="52">
        <v>17</v>
      </c>
      <c r="T61" s="53">
        <v>3.4</v>
      </c>
      <c r="U61" s="52">
        <v>5</v>
      </c>
      <c r="V61" s="52">
        <v>3</v>
      </c>
      <c r="W61" s="152"/>
      <c r="X61" s="153"/>
      <c r="Y61" s="154"/>
      <c r="Z61" s="137"/>
      <c r="AA61" s="138"/>
      <c r="AB61" s="139"/>
      <c r="AC61" s="138"/>
      <c r="AD61" s="138"/>
      <c r="AE61" s="138"/>
      <c r="AF61" s="138"/>
      <c r="AG61" s="140"/>
    </row>
    <row r="62" spans="1:33" x14ac:dyDescent="0.3">
      <c r="A62" s="220"/>
      <c r="B62" s="42" t="s">
        <v>14</v>
      </c>
      <c r="C62" s="13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6"/>
      <c r="R62" s="134"/>
      <c r="S62" s="135"/>
      <c r="T62" s="135"/>
      <c r="U62" s="135"/>
      <c r="V62" s="135"/>
      <c r="W62" s="135"/>
      <c r="X62" s="135"/>
      <c r="Y62" s="135"/>
      <c r="Z62" s="2">
        <v>3</v>
      </c>
      <c r="AA62" s="3">
        <v>9</v>
      </c>
      <c r="AB62" s="4">
        <v>3</v>
      </c>
      <c r="AC62" s="3">
        <v>3</v>
      </c>
      <c r="AD62" s="3">
        <v>5</v>
      </c>
      <c r="AE62" s="135"/>
      <c r="AF62" s="135"/>
      <c r="AG62" s="136"/>
    </row>
    <row r="63" spans="1:33" x14ac:dyDescent="0.3">
      <c r="A63" s="220"/>
      <c r="B63" s="42" t="s">
        <v>16</v>
      </c>
      <c r="C63" s="13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6"/>
      <c r="R63" s="134"/>
      <c r="S63" s="135"/>
      <c r="T63" s="135"/>
      <c r="U63" s="135"/>
      <c r="V63" s="135"/>
      <c r="W63" s="135"/>
      <c r="X63" s="135"/>
      <c r="Y63" s="135"/>
      <c r="Z63" s="2">
        <v>2</v>
      </c>
      <c r="AA63" s="3">
        <v>4</v>
      </c>
      <c r="AB63" s="4">
        <v>2</v>
      </c>
      <c r="AC63" s="3">
        <v>2</v>
      </c>
      <c r="AD63" s="3">
        <v>1</v>
      </c>
      <c r="AE63" s="135"/>
      <c r="AF63" s="135"/>
      <c r="AG63" s="136"/>
    </row>
    <row r="64" spans="1:33" x14ac:dyDescent="0.3">
      <c r="A64" s="220"/>
      <c r="B64" s="42" t="s">
        <v>19</v>
      </c>
      <c r="C64" s="13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6"/>
      <c r="R64" s="134"/>
      <c r="S64" s="135"/>
      <c r="T64" s="135"/>
      <c r="U64" s="135"/>
      <c r="V64" s="135"/>
      <c r="W64" s="135"/>
      <c r="X64" s="135"/>
      <c r="Y64" s="135"/>
      <c r="Z64" s="2">
        <v>2</v>
      </c>
      <c r="AA64" s="3">
        <v>3</v>
      </c>
      <c r="AB64" s="4">
        <v>1.5</v>
      </c>
      <c r="AC64" s="3">
        <v>1</v>
      </c>
      <c r="AD64" s="3">
        <v>1</v>
      </c>
      <c r="AE64" s="135"/>
      <c r="AF64" s="135"/>
      <c r="AG64" s="136"/>
    </row>
    <row r="65" spans="1:33" s="29" customFormat="1" ht="16.5" customHeight="1" x14ac:dyDescent="0.3">
      <c r="A65" s="220"/>
      <c r="B65" s="41" t="s">
        <v>51</v>
      </c>
      <c r="C65" s="31">
        <v>6</v>
      </c>
      <c r="D65" s="32">
        <v>24</v>
      </c>
      <c r="E65" s="33">
        <v>4</v>
      </c>
      <c r="F65" s="32">
        <v>6</v>
      </c>
      <c r="G65" s="32">
        <v>4</v>
      </c>
      <c r="H65" s="144"/>
      <c r="I65" s="146"/>
      <c r="J65" s="147"/>
      <c r="K65" s="146"/>
      <c r="L65" s="33">
        <v>95.212000000000003</v>
      </c>
      <c r="M65" s="34">
        <v>0.87105376795373035</v>
      </c>
      <c r="N65" s="145"/>
      <c r="O65" s="33">
        <v>3.395</v>
      </c>
      <c r="P65" s="37">
        <v>0.43588033526033826</v>
      </c>
      <c r="Q65" s="148"/>
      <c r="R65" s="31">
        <v>6</v>
      </c>
      <c r="S65" s="32">
        <v>28</v>
      </c>
      <c r="T65" s="33">
        <v>4.666666666666667</v>
      </c>
      <c r="U65" s="32">
        <v>5</v>
      </c>
      <c r="V65" s="32">
        <v>5</v>
      </c>
      <c r="W65" s="144"/>
      <c r="X65" s="146"/>
      <c r="Y65" s="147"/>
      <c r="Z65" s="137"/>
      <c r="AA65" s="138"/>
      <c r="AB65" s="139"/>
      <c r="AC65" s="138"/>
      <c r="AD65" s="138"/>
      <c r="AE65" s="138"/>
      <c r="AF65" s="138"/>
      <c r="AG65" s="140"/>
    </row>
    <row r="66" spans="1:33" x14ac:dyDescent="0.3">
      <c r="A66" s="220"/>
      <c r="B66" s="46" t="s">
        <v>12</v>
      </c>
      <c r="C66" s="13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6"/>
      <c r="R66" s="134"/>
      <c r="S66" s="135"/>
      <c r="T66" s="135"/>
      <c r="U66" s="135"/>
      <c r="V66" s="135"/>
      <c r="W66" s="135"/>
      <c r="X66" s="135"/>
      <c r="Y66" s="135"/>
      <c r="Z66" s="8">
        <v>4</v>
      </c>
      <c r="AA66" s="9">
        <v>9</v>
      </c>
      <c r="AB66" s="10">
        <v>2.25</v>
      </c>
      <c r="AC66" s="9">
        <v>2</v>
      </c>
      <c r="AD66" s="9">
        <v>5</v>
      </c>
      <c r="AE66" s="157"/>
      <c r="AF66" s="157"/>
      <c r="AG66" s="158"/>
    </row>
    <row r="67" spans="1:33" x14ac:dyDescent="0.3">
      <c r="A67" s="220"/>
      <c r="B67" s="42" t="s">
        <v>13</v>
      </c>
      <c r="C67" s="13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6"/>
      <c r="R67" s="134"/>
      <c r="S67" s="135"/>
      <c r="T67" s="135"/>
      <c r="U67" s="135"/>
      <c r="V67" s="135"/>
      <c r="W67" s="135"/>
      <c r="X67" s="135"/>
      <c r="Y67" s="135"/>
      <c r="Z67" s="134"/>
      <c r="AA67" s="135"/>
      <c r="AB67" s="141"/>
      <c r="AC67" s="135"/>
      <c r="AD67" s="135"/>
      <c r="AE67" s="135"/>
      <c r="AF67" s="135"/>
      <c r="AG67" s="136"/>
    </row>
    <row r="68" spans="1:33" x14ac:dyDescent="0.3">
      <c r="A68" s="220"/>
      <c r="B68" s="42" t="s">
        <v>45</v>
      </c>
      <c r="C68" s="13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6"/>
      <c r="R68" s="134"/>
      <c r="S68" s="135"/>
      <c r="T68" s="135"/>
      <c r="U68" s="135"/>
      <c r="V68" s="135"/>
      <c r="W68" s="135"/>
      <c r="X68" s="135"/>
      <c r="Y68" s="135"/>
      <c r="Z68" s="2">
        <v>5</v>
      </c>
      <c r="AA68" s="3">
        <v>9</v>
      </c>
      <c r="AB68" s="4">
        <v>1.8</v>
      </c>
      <c r="AC68" s="3">
        <v>5</v>
      </c>
      <c r="AD68" s="3">
        <v>3</v>
      </c>
      <c r="AE68" s="135"/>
      <c r="AF68" s="135"/>
      <c r="AG68" s="136"/>
    </row>
    <row r="69" spans="1:33" s="29" customFormat="1" ht="16.5" customHeight="1" x14ac:dyDescent="0.3">
      <c r="A69" s="220"/>
      <c r="B69" s="41" t="s">
        <v>52</v>
      </c>
      <c r="C69" s="31">
        <v>2</v>
      </c>
      <c r="D69" s="32">
        <v>6</v>
      </c>
      <c r="E69" s="33">
        <v>3</v>
      </c>
      <c r="F69" s="32">
        <v>2</v>
      </c>
      <c r="G69" s="38">
        <v>2</v>
      </c>
      <c r="H69" s="144"/>
      <c r="I69" s="146"/>
      <c r="J69" s="147"/>
      <c r="K69" s="146"/>
      <c r="L69" s="33">
        <v>92.647999999999996</v>
      </c>
      <c r="M69" s="34">
        <v>0.29800000000149562</v>
      </c>
      <c r="N69" s="145"/>
      <c r="O69" s="33">
        <v>4.6750000000000007</v>
      </c>
      <c r="P69" s="37">
        <v>0.14499999999998112</v>
      </c>
      <c r="Q69" s="148"/>
      <c r="R69" s="31">
        <v>2</v>
      </c>
      <c r="S69" s="32">
        <v>4</v>
      </c>
      <c r="T69" s="33">
        <v>2</v>
      </c>
      <c r="U69" s="32">
        <v>2</v>
      </c>
      <c r="V69" s="38">
        <v>0</v>
      </c>
      <c r="W69" s="144"/>
      <c r="X69" s="146"/>
      <c r="Y69" s="147"/>
      <c r="Z69" s="2">
        <v>2</v>
      </c>
      <c r="AA69" s="3">
        <v>3</v>
      </c>
      <c r="AB69" s="4">
        <v>1.5</v>
      </c>
      <c r="AC69" s="3">
        <v>0</v>
      </c>
      <c r="AD69" s="3">
        <v>1</v>
      </c>
      <c r="AE69" s="135"/>
      <c r="AF69" s="135"/>
      <c r="AG69" s="136"/>
    </row>
    <row r="70" spans="1:33" s="29" customFormat="1" ht="16.5" customHeight="1" x14ac:dyDescent="0.3">
      <c r="A70" s="220"/>
      <c r="B70" s="41" t="s">
        <v>53</v>
      </c>
      <c r="C70" s="31">
        <v>4</v>
      </c>
      <c r="D70" s="32">
        <v>7</v>
      </c>
      <c r="E70" s="33">
        <v>1.75</v>
      </c>
      <c r="F70" s="32">
        <v>3</v>
      </c>
      <c r="G70" s="38">
        <v>2</v>
      </c>
      <c r="H70" s="144"/>
      <c r="I70" s="146"/>
      <c r="J70" s="147"/>
      <c r="K70" s="146"/>
      <c r="L70" s="33">
        <v>93.665000000000006</v>
      </c>
      <c r="M70" s="34">
        <v>1.7003283996532503</v>
      </c>
      <c r="N70" s="145"/>
      <c r="O70" s="33">
        <v>3.9333333333333336</v>
      </c>
      <c r="P70" s="37">
        <v>0.82192186706252912</v>
      </c>
      <c r="Q70" s="148"/>
      <c r="R70" s="31">
        <v>4</v>
      </c>
      <c r="S70" s="32">
        <v>4</v>
      </c>
      <c r="T70" s="33">
        <v>1</v>
      </c>
      <c r="U70" s="32">
        <v>3</v>
      </c>
      <c r="V70" s="38" t="s">
        <v>66</v>
      </c>
      <c r="W70" s="144"/>
      <c r="X70" s="146"/>
      <c r="Y70" s="147"/>
      <c r="Z70" s="137"/>
      <c r="AA70" s="138"/>
      <c r="AB70" s="139"/>
      <c r="AC70" s="138"/>
      <c r="AD70" s="138"/>
      <c r="AE70" s="138"/>
      <c r="AF70" s="138"/>
      <c r="AG70" s="140"/>
    </row>
    <row r="71" spans="1:33" x14ac:dyDescent="0.3">
      <c r="A71" s="220"/>
      <c r="B71" s="42" t="s">
        <v>46</v>
      </c>
      <c r="C71" s="13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6"/>
      <c r="R71" s="134"/>
      <c r="S71" s="135"/>
      <c r="T71" s="135"/>
      <c r="U71" s="135"/>
      <c r="V71" s="135"/>
      <c r="W71" s="135"/>
      <c r="X71" s="135"/>
      <c r="Y71" s="135"/>
      <c r="Z71" s="2">
        <v>3</v>
      </c>
      <c r="AA71" s="3">
        <v>4</v>
      </c>
      <c r="AB71" s="4">
        <v>1.3333333333333333</v>
      </c>
      <c r="AC71" s="3">
        <v>2</v>
      </c>
      <c r="AD71" s="18" t="s">
        <v>47</v>
      </c>
      <c r="AE71" s="135"/>
      <c r="AF71" s="135"/>
      <c r="AG71" s="136"/>
    </row>
    <row r="72" spans="1:33" x14ac:dyDescent="0.3">
      <c r="A72" s="220"/>
      <c r="B72" s="42" t="s">
        <v>21</v>
      </c>
      <c r="C72" s="13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6"/>
      <c r="R72" s="134"/>
      <c r="S72" s="135"/>
      <c r="T72" s="135"/>
      <c r="U72" s="135"/>
      <c r="V72" s="135"/>
      <c r="W72" s="135"/>
      <c r="X72" s="135"/>
      <c r="Y72" s="135"/>
      <c r="Z72" s="2">
        <v>2</v>
      </c>
      <c r="AA72" s="3">
        <v>3</v>
      </c>
      <c r="AB72" s="4">
        <v>1.5</v>
      </c>
      <c r="AC72" s="3">
        <v>0</v>
      </c>
      <c r="AD72" s="3">
        <v>1</v>
      </c>
      <c r="AE72" s="135"/>
      <c r="AF72" s="135"/>
      <c r="AG72" s="136"/>
    </row>
    <row r="73" spans="1:33" s="29" customFormat="1" ht="16.5" customHeight="1" x14ac:dyDescent="0.3">
      <c r="A73" s="220"/>
      <c r="B73" s="41" t="s">
        <v>54</v>
      </c>
      <c r="C73" s="31">
        <v>4</v>
      </c>
      <c r="D73" s="32">
        <v>7</v>
      </c>
      <c r="E73" s="33">
        <v>1.75</v>
      </c>
      <c r="F73" s="32">
        <v>4</v>
      </c>
      <c r="G73" s="32">
        <v>1</v>
      </c>
      <c r="H73" s="144"/>
      <c r="I73" s="146"/>
      <c r="J73" s="147"/>
      <c r="K73" s="146"/>
      <c r="L73" s="40">
        <v>82.40124999999999</v>
      </c>
      <c r="M73" s="40">
        <v>6.6722732024026969</v>
      </c>
      <c r="N73" s="145"/>
      <c r="O73" s="40">
        <v>5.625</v>
      </c>
      <c r="P73" s="40">
        <v>0.73104377433912859</v>
      </c>
      <c r="Q73" s="148"/>
      <c r="R73" s="31">
        <v>4</v>
      </c>
      <c r="S73" s="32">
        <v>7</v>
      </c>
      <c r="T73" s="33">
        <v>1.75</v>
      </c>
      <c r="U73" s="32">
        <v>0</v>
      </c>
      <c r="V73" s="32">
        <v>3</v>
      </c>
      <c r="W73" s="144"/>
      <c r="X73" s="146"/>
      <c r="Y73" s="147"/>
      <c r="Z73" s="137"/>
      <c r="AA73" s="138"/>
      <c r="AB73" s="139"/>
      <c r="AC73" s="138"/>
      <c r="AD73" s="138"/>
      <c r="AE73" s="138"/>
      <c r="AF73" s="138"/>
      <c r="AG73" s="140"/>
    </row>
    <row r="74" spans="1:33" x14ac:dyDescent="0.3">
      <c r="A74" s="220"/>
      <c r="B74" s="42" t="s">
        <v>34</v>
      </c>
      <c r="C74" s="13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6"/>
      <c r="R74" s="134"/>
      <c r="S74" s="135"/>
      <c r="T74" s="135"/>
      <c r="U74" s="135"/>
      <c r="V74" s="135"/>
      <c r="W74" s="135"/>
      <c r="X74" s="135"/>
      <c r="Y74" s="135"/>
      <c r="Z74" s="2">
        <v>1</v>
      </c>
      <c r="AA74" s="3">
        <v>1</v>
      </c>
      <c r="AB74" s="4">
        <v>1</v>
      </c>
      <c r="AC74" s="3">
        <v>1</v>
      </c>
      <c r="AD74" s="18" t="s">
        <v>47</v>
      </c>
      <c r="AE74" s="135"/>
      <c r="AF74" s="135"/>
      <c r="AG74" s="136"/>
    </row>
    <row r="75" spans="1:33" x14ac:dyDescent="0.3">
      <c r="A75" s="220"/>
      <c r="B75" s="42" t="s">
        <v>15</v>
      </c>
      <c r="C75" s="13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6"/>
      <c r="R75" s="134"/>
      <c r="S75" s="135"/>
      <c r="T75" s="135"/>
      <c r="U75" s="135"/>
      <c r="V75" s="135"/>
      <c r="W75" s="135"/>
      <c r="X75" s="135"/>
      <c r="Y75" s="135"/>
      <c r="Z75" s="2">
        <v>5</v>
      </c>
      <c r="AA75" s="3">
        <v>16</v>
      </c>
      <c r="AB75" s="4">
        <v>3.2</v>
      </c>
      <c r="AC75" s="3">
        <v>5</v>
      </c>
      <c r="AD75" s="3">
        <v>10</v>
      </c>
      <c r="AE75" s="135"/>
      <c r="AF75" s="135"/>
      <c r="AG75" s="136"/>
    </row>
    <row r="76" spans="1:33" s="29" customFormat="1" ht="16.5" customHeight="1" x14ac:dyDescent="0.3">
      <c r="A76" s="220"/>
      <c r="B76" s="41" t="s">
        <v>55</v>
      </c>
      <c r="C76" s="31">
        <v>5</v>
      </c>
      <c r="D76" s="32">
        <v>20</v>
      </c>
      <c r="E76" s="33">
        <v>4</v>
      </c>
      <c r="F76" s="32">
        <v>5</v>
      </c>
      <c r="G76" s="32">
        <v>4</v>
      </c>
      <c r="H76" s="144"/>
      <c r="I76" s="146"/>
      <c r="J76" s="147"/>
      <c r="K76" s="146"/>
      <c r="L76" s="33">
        <v>94.36099999999999</v>
      </c>
      <c r="M76" s="34">
        <v>1.02412303948429</v>
      </c>
      <c r="N76" s="145"/>
      <c r="O76" s="33">
        <v>3.8199999999999994</v>
      </c>
      <c r="P76" s="37">
        <v>0.51033322447201424</v>
      </c>
      <c r="Q76" s="148"/>
      <c r="R76" s="31">
        <v>5</v>
      </c>
      <c r="S76" s="32">
        <v>16</v>
      </c>
      <c r="T76" s="33">
        <v>3.2</v>
      </c>
      <c r="U76" s="32">
        <v>4</v>
      </c>
      <c r="V76" s="32">
        <v>8</v>
      </c>
      <c r="W76" s="144"/>
      <c r="X76" s="146"/>
      <c r="Y76" s="147"/>
      <c r="Z76" s="2">
        <v>7</v>
      </c>
      <c r="AA76" s="3">
        <v>19</v>
      </c>
      <c r="AB76" s="4">
        <v>2.7142857142857144</v>
      </c>
      <c r="AC76" s="3">
        <v>6</v>
      </c>
      <c r="AD76" s="3">
        <v>10</v>
      </c>
      <c r="AE76" s="135"/>
      <c r="AF76" s="135"/>
      <c r="AG76" s="136"/>
    </row>
    <row r="77" spans="1:33" s="29" customFormat="1" ht="16.5" customHeight="1" x14ac:dyDescent="0.3">
      <c r="A77" s="220"/>
      <c r="B77" s="41" t="s">
        <v>56</v>
      </c>
      <c r="C77" s="31">
        <v>6</v>
      </c>
      <c r="D77" s="32">
        <v>21</v>
      </c>
      <c r="E77" s="33">
        <v>3.5</v>
      </c>
      <c r="F77" s="32">
        <v>6</v>
      </c>
      <c r="G77" s="32">
        <v>5</v>
      </c>
      <c r="H77" s="144"/>
      <c r="I77" s="146"/>
      <c r="J77" s="147"/>
      <c r="K77" s="146"/>
      <c r="L77" s="33">
        <v>94.83516666666668</v>
      </c>
      <c r="M77" s="34">
        <v>1.3027548268526159</v>
      </c>
      <c r="N77" s="145"/>
      <c r="O77" s="33">
        <v>3.5833333333333339</v>
      </c>
      <c r="P77" s="37">
        <v>0.65290802483112542</v>
      </c>
      <c r="Q77" s="148"/>
      <c r="R77" s="31">
        <v>4</v>
      </c>
      <c r="S77" s="32">
        <v>18</v>
      </c>
      <c r="T77" s="33">
        <v>4.5</v>
      </c>
      <c r="U77" s="32">
        <v>4</v>
      </c>
      <c r="V77" s="32">
        <v>10</v>
      </c>
      <c r="W77" s="144"/>
      <c r="X77" s="146"/>
      <c r="Y77" s="147"/>
      <c r="Z77" s="137"/>
      <c r="AA77" s="138"/>
      <c r="AB77" s="139"/>
      <c r="AC77" s="138"/>
      <c r="AD77" s="138"/>
      <c r="AE77" s="138"/>
      <c r="AF77" s="138"/>
      <c r="AG77" s="140"/>
    </row>
    <row r="78" spans="1:33" x14ac:dyDescent="0.3">
      <c r="A78" s="220"/>
      <c r="B78" s="42" t="s">
        <v>17</v>
      </c>
      <c r="C78" s="134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6"/>
      <c r="R78" s="134"/>
      <c r="S78" s="135"/>
      <c r="T78" s="135"/>
      <c r="U78" s="135"/>
      <c r="V78" s="135"/>
      <c r="W78" s="135"/>
      <c r="X78" s="135"/>
      <c r="Y78" s="135"/>
      <c r="Z78" s="2">
        <v>3</v>
      </c>
      <c r="AA78" s="3">
        <v>7</v>
      </c>
      <c r="AB78" s="4">
        <v>2.3333333333333335</v>
      </c>
      <c r="AC78" s="3">
        <v>3</v>
      </c>
      <c r="AD78" s="3">
        <v>2</v>
      </c>
      <c r="AE78" s="135"/>
      <c r="AF78" s="135"/>
      <c r="AG78" s="136"/>
    </row>
    <row r="79" spans="1:33" x14ac:dyDescent="0.3">
      <c r="A79" s="220"/>
      <c r="B79" s="42" t="s">
        <v>18</v>
      </c>
      <c r="C79" s="134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6"/>
      <c r="R79" s="134"/>
      <c r="S79" s="135"/>
      <c r="T79" s="135"/>
      <c r="U79" s="135"/>
      <c r="V79" s="135"/>
      <c r="W79" s="135"/>
      <c r="X79" s="135"/>
      <c r="Y79" s="135"/>
      <c r="Z79" s="2">
        <v>3</v>
      </c>
      <c r="AA79" s="3">
        <v>6</v>
      </c>
      <c r="AB79" s="4">
        <v>2</v>
      </c>
      <c r="AC79" s="3">
        <v>1</v>
      </c>
      <c r="AD79" s="3">
        <v>3</v>
      </c>
      <c r="AE79" s="135"/>
      <c r="AF79" s="135"/>
      <c r="AG79" s="136"/>
    </row>
    <row r="80" spans="1:33" s="29" customFormat="1" ht="16.5" customHeight="1" x14ac:dyDescent="0.3">
      <c r="A80" s="220"/>
      <c r="B80" s="41" t="s">
        <v>57</v>
      </c>
      <c r="C80" s="143"/>
      <c r="D80" s="144"/>
      <c r="E80" s="145"/>
      <c r="F80" s="144"/>
      <c r="G80" s="144"/>
      <c r="H80" s="144"/>
      <c r="I80" s="146"/>
      <c r="J80" s="147"/>
      <c r="K80" s="146"/>
      <c r="L80" s="145"/>
      <c r="M80" s="146"/>
      <c r="N80" s="145"/>
      <c r="O80" s="145"/>
      <c r="P80" s="149"/>
      <c r="Q80" s="148"/>
      <c r="R80" s="31">
        <v>2</v>
      </c>
      <c r="S80" s="32">
        <v>6</v>
      </c>
      <c r="T80" s="33">
        <v>3</v>
      </c>
      <c r="U80" s="32">
        <v>2</v>
      </c>
      <c r="V80" s="32">
        <v>2</v>
      </c>
      <c r="W80" s="144"/>
      <c r="X80" s="146"/>
      <c r="Y80" s="147"/>
      <c r="Z80" s="2">
        <v>2</v>
      </c>
      <c r="AA80" s="3">
        <v>4</v>
      </c>
      <c r="AB80" s="4">
        <v>2</v>
      </c>
      <c r="AC80" s="3">
        <v>2</v>
      </c>
      <c r="AD80" s="3">
        <v>1</v>
      </c>
      <c r="AE80" s="135"/>
      <c r="AF80" s="135"/>
      <c r="AG80" s="136"/>
    </row>
    <row r="81" spans="1:33" s="29" customFormat="1" ht="16.5" customHeight="1" x14ac:dyDescent="0.3">
      <c r="A81" s="220"/>
      <c r="B81" s="41" t="s">
        <v>58</v>
      </c>
      <c r="C81" s="31">
        <v>4</v>
      </c>
      <c r="D81" s="32">
        <v>10</v>
      </c>
      <c r="E81" s="33">
        <v>2.5</v>
      </c>
      <c r="F81" s="32">
        <v>3</v>
      </c>
      <c r="G81" s="32">
        <v>3</v>
      </c>
      <c r="H81" s="144"/>
      <c r="I81" s="146"/>
      <c r="J81" s="147"/>
      <c r="K81" s="146"/>
      <c r="L81" s="33">
        <v>91.23233333333333</v>
      </c>
      <c r="M81" s="34">
        <v>1.8057161706346825</v>
      </c>
      <c r="N81" s="145"/>
      <c r="O81" s="33">
        <v>4.7366666666666672</v>
      </c>
      <c r="P81" s="37">
        <v>0.37985377303494278</v>
      </c>
      <c r="Q81" s="148"/>
      <c r="R81" s="31">
        <v>4</v>
      </c>
      <c r="S81" s="32">
        <v>7</v>
      </c>
      <c r="T81" s="33">
        <v>1.75</v>
      </c>
      <c r="U81" s="32">
        <v>1</v>
      </c>
      <c r="V81" s="32">
        <v>3</v>
      </c>
      <c r="W81" s="144"/>
      <c r="X81" s="146"/>
      <c r="Y81" s="147"/>
      <c r="Z81" s="137"/>
      <c r="AA81" s="138"/>
      <c r="AB81" s="139"/>
      <c r="AC81" s="138"/>
      <c r="AD81" s="138"/>
      <c r="AE81" s="138"/>
      <c r="AF81" s="138"/>
      <c r="AG81" s="140"/>
    </row>
    <row r="82" spans="1:33" x14ac:dyDescent="0.3">
      <c r="A82" s="220"/>
      <c r="B82" s="42" t="s">
        <v>36</v>
      </c>
      <c r="C82" s="134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6"/>
      <c r="R82" s="134"/>
      <c r="S82" s="135"/>
      <c r="T82" s="135"/>
      <c r="U82" s="135"/>
      <c r="V82" s="135"/>
      <c r="W82" s="135"/>
      <c r="X82" s="135"/>
      <c r="Y82" s="135"/>
      <c r="Z82" s="2">
        <v>1</v>
      </c>
      <c r="AA82" s="3">
        <v>3</v>
      </c>
      <c r="AB82" s="4">
        <v>3</v>
      </c>
      <c r="AC82" s="3">
        <v>0</v>
      </c>
      <c r="AD82" s="3">
        <v>2</v>
      </c>
      <c r="AE82" s="135"/>
      <c r="AF82" s="135"/>
      <c r="AG82" s="136"/>
    </row>
    <row r="83" spans="1:33" x14ac:dyDescent="0.3">
      <c r="A83" s="220"/>
      <c r="B83" s="42" t="s">
        <v>38</v>
      </c>
      <c r="C83" s="134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6"/>
      <c r="R83" s="134"/>
      <c r="S83" s="135"/>
      <c r="T83" s="135"/>
      <c r="U83" s="135"/>
      <c r="V83" s="135"/>
      <c r="W83" s="135"/>
      <c r="X83" s="135"/>
      <c r="Y83" s="135"/>
      <c r="Z83" s="2">
        <v>2</v>
      </c>
      <c r="AA83" s="3">
        <v>4</v>
      </c>
      <c r="AB83" s="4">
        <v>2</v>
      </c>
      <c r="AC83" s="3">
        <v>2</v>
      </c>
      <c r="AD83" s="18" t="s">
        <v>47</v>
      </c>
      <c r="AE83" s="135"/>
      <c r="AF83" s="135"/>
      <c r="AG83" s="136"/>
    </row>
    <row r="84" spans="1:33" x14ac:dyDescent="0.3">
      <c r="A84" s="220"/>
      <c r="B84" s="42" t="s">
        <v>20</v>
      </c>
      <c r="C84" s="134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6"/>
      <c r="R84" s="134"/>
      <c r="S84" s="135"/>
      <c r="T84" s="135"/>
      <c r="U84" s="135"/>
      <c r="V84" s="135"/>
      <c r="W84" s="135"/>
      <c r="X84" s="135"/>
      <c r="Y84" s="135"/>
      <c r="Z84" s="2">
        <v>2</v>
      </c>
      <c r="AA84" s="3">
        <v>2</v>
      </c>
      <c r="AB84" s="4">
        <v>1</v>
      </c>
      <c r="AC84" s="3">
        <v>0</v>
      </c>
      <c r="AD84" s="18" t="s">
        <v>47</v>
      </c>
      <c r="AE84" s="135"/>
      <c r="AF84" s="135"/>
      <c r="AG84" s="136"/>
    </row>
    <row r="85" spans="1:33" s="29" customFormat="1" ht="16.5" customHeight="1" x14ac:dyDescent="0.3">
      <c r="A85" s="220"/>
      <c r="B85" s="41" t="s">
        <v>59</v>
      </c>
      <c r="C85" s="31">
        <v>1</v>
      </c>
      <c r="D85" s="32">
        <v>2</v>
      </c>
      <c r="E85" s="33">
        <v>2</v>
      </c>
      <c r="F85" s="32">
        <v>1</v>
      </c>
      <c r="G85" s="38">
        <v>0</v>
      </c>
      <c r="H85" s="144"/>
      <c r="I85" s="146"/>
      <c r="J85" s="147"/>
      <c r="K85" s="146"/>
      <c r="L85" s="40">
        <v>89.275999999999996</v>
      </c>
      <c r="M85" s="40">
        <v>0</v>
      </c>
      <c r="N85" s="145"/>
      <c r="O85" s="40">
        <v>5.12</v>
      </c>
      <c r="P85" s="40">
        <v>0</v>
      </c>
      <c r="Q85" s="148"/>
      <c r="R85" s="31">
        <v>1</v>
      </c>
      <c r="S85" s="32">
        <v>2</v>
      </c>
      <c r="T85" s="33">
        <v>2</v>
      </c>
      <c r="U85" s="32">
        <v>0</v>
      </c>
      <c r="V85" s="38" t="s">
        <v>66</v>
      </c>
      <c r="W85" s="144"/>
      <c r="X85" s="146"/>
      <c r="Y85" s="147"/>
      <c r="Z85" s="2">
        <v>2</v>
      </c>
      <c r="AA85" s="3">
        <v>3</v>
      </c>
      <c r="AB85" s="4">
        <v>1.5</v>
      </c>
      <c r="AC85" s="3">
        <v>1</v>
      </c>
      <c r="AD85" s="3">
        <v>1</v>
      </c>
      <c r="AE85" s="135"/>
      <c r="AF85" s="135"/>
      <c r="AG85" s="136"/>
    </row>
    <row r="86" spans="1:33" s="29" customFormat="1" ht="16.5" customHeight="1" x14ac:dyDescent="0.3">
      <c r="A86" s="220"/>
      <c r="B86" s="41" t="s">
        <v>60</v>
      </c>
      <c r="C86" s="31">
        <v>2</v>
      </c>
      <c r="D86" s="32">
        <v>5</v>
      </c>
      <c r="E86" s="33">
        <v>2.5</v>
      </c>
      <c r="F86" s="32">
        <v>2</v>
      </c>
      <c r="G86" s="38">
        <v>1</v>
      </c>
      <c r="H86" s="144"/>
      <c r="I86" s="146"/>
      <c r="J86" s="147"/>
      <c r="K86" s="146"/>
      <c r="L86" s="33">
        <v>89.452500000000001</v>
      </c>
      <c r="M86" s="34">
        <v>3.0875000000000647</v>
      </c>
      <c r="N86" s="145"/>
      <c r="O86" s="33">
        <v>5.09</v>
      </c>
      <c r="P86" s="37">
        <v>0.36000000000000487</v>
      </c>
      <c r="Q86" s="148"/>
      <c r="R86" s="31">
        <v>2</v>
      </c>
      <c r="S86" s="32">
        <v>3</v>
      </c>
      <c r="T86" s="33">
        <v>1.5</v>
      </c>
      <c r="U86" s="32">
        <v>1</v>
      </c>
      <c r="V86" s="38" t="s">
        <v>66</v>
      </c>
      <c r="W86" s="144"/>
      <c r="X86" s="146"/>
      <c r="Y86" s="147"/>
      <c r="Z86" s="2">
        <v>2</v>
      </c>
      <c r="AA86" s="3">
        <v>5</v>
      </c>
      <c r="AB86" s="4">
        <v>2.5</v>
      </c>
      <c r="AC86" s="3">
        <v>2</v>
      </c>
      <c r="AD86" s="18" t="s">
        <v>47</v>
      </c>
      <c r="AE86" s="135"/>
      <c r="AF86" s="135"/>
      <c r="AG86" s="136"/>
    </row>
    <row r="87" spans="1:33" s="29" customFormat="1" ht="16.5" customHeight="1" x14ac:dyDescent="0.3">
      <c r="A87" s="220"/>
      <c r="B87" s="41" t="s">
        <v>61</v>
      </c>
      <c r="C87" s="31">
        <v>1</v>
      </c>
      <c r="D87" s="32">
        <v>4</v>
      </c>
      <c r="E87" s="33">
        <v>4</v>
      </c>
      <c r="F87" s="32">
        <v>1</v>
      </c>
      <c r="G87" s="32">
        <v>1</v>
      </c>
      <c r="H87" s="144"/>
      <c r="I87" s="146"/>
      <c r="J87" s="147"/>
      <c r="K87" s="146"/>
      <c r="L87" s="33">
        <v>93.212000000000003</v>
      </c>
      <c r="M87" s="34">
        <v>0</v>
      </c>
      <c r="N87" s="145"/>
      <c r="O87" s="33">
        <v>4.3899999999999997</v>
      </c>
      <c r="P87" s="37">
        <v>0</v>
      </c>
      <c r="Q87" s="148"/>
      <c r="R87" s="31">
        <v>1</v>
      </c>
      <c r="S87" s="32">
        <v>5</v>
      </c>
      <c r="T87" s="33">
        <v>5</v>
      </c>
      <c r="U87" s="32">
        <v>1</v>
      </c>
      <c r="V87" s="32">
        <v>0</v>
      </c>
      <c r="W87" s="144"/>
      <c r="X87" s="146"/>
      <c r="Y87" s="147"/>
      <c r="Z87" s="2">
        <v>2</v>
      </c>
      <c r="AA87" s="3">
        <v>3</v>
      </c>
      <c r="AB87" s="4">
        <v>1.5</v>
      </c>
      <c r="AC87" s="3">
        <v>0</v>
      </c>
      <c r="AD87" s="3">
        <v>1</v>
      </c>
      <c r="AE87" s="135"/>
      <c r="AF87" s="135"/>
      <c r="AG87" s="136"/>
    </row>
    <row r="88" spans="1:33" s="29" customFormat="1" ht="16.5" customHeight="1" thickBot="1" x14ac:dyDescent="0.35">
      <c r="A88" s="221"/>
      <c r="B88" s="56" t="s">
        <v>63</v>
      </c>
      <c r="C88" s="69">
        <v>40</v>
      </c>
      <c r="D88" s="57">
        <v>128</v>
      </c>
      <c r="E88" s="58">
        <v>3.2</v>
      </c>
      <c r="F88" s="57">
        <v>38</v>
      </c>
      <c r="G88" s="57">
        <v>28</v>
      </c>
      <c r="H88" s="159"/>
      <c r="I88" s="160"/>
      <c r="J88" s="161"/>
      <c r="K88" s="160"/>
      <c r="L88" s="58">
        <v>92.266815789473682</v>
      </c>
      <c r="M88" s="59">
        <v>4.5274525941618853</v>
      </c>
      <c r="N88" s="150"/>
      <c r="O88" s="58">
        <v>4.2628947368421048</v>
      </c>
      <c r="P88" s="60">
        <v>0.9052388690132025</v>
      </c>
      <c r="Q88" s="151"/>
      <c r="R88" s="69">
        <v>40</v>
      </c>
      <c r="S88" s="57">
        <v>117</v>
      </c>
      <c r="T88" s="58">
        <v>2.9249999999999998</v>
      </c>
      <c r="U88" s="57">
        <v>28</v>
      </c>
      <c r="V88" s="57">
        <v>34</v>
      </c>
      <c r="W88" s="159"/>
      <c r="X88" s="160"/>
      <c r="Y88" s="161"/>
      <c r="Z88" s="5">
        <v>55</v>
      </c>
      <c r="AA88" s="6">
        <v>117</v>
      </c>
      <c r="AB88" s="7">
        <v>2.1272727272727274</v>
      </c>
      <c r="AC88" s="6">
        <v>38</v>
      </c>
      <c r="AD88" s="6">
        <v>47</v>
      </c>
      <c r="AE88" s="162"/>
      <c r="AF88" s="162"/>
      <c r="AG88" s="163"/>
    </row>
    <row r="89" spans="1:33" s="29" customFormat="1" ht="16.5" customHeight="1" x14ac:dyDescent="0.3">
      <c r="A89" s="219" t="s">
        <v>68</v>
      </c>
      <c r="B89" s="51" t="s">
        <v>50</v>
      </c>
      <c r="C89" s="68">
        <v>4</v>
      </c>
      <c r="D89" s="52">
        <v>25</v>
      </c>
      <c r="E89" s="53">
        <v>6.25</v>
      </c>
      <c r="F89" s="52">
        <v>4</v>
      </c>
      <c r="G89" s="52">
        <v>7</v>
      </c>
      <c r="H89" s="152"/>
      <c r="I89" s="153"/>
      <c r="J89" s="154"/>
      <c r="K89" s="153"/>
      <c r="L89" s="53">
        <v>93.188500000000005</v>
      </c>
      <c r="M89" s="54">
        <v>0.14100797849452096</v>
      </c>
      <c r="N89" s="155"/>
      <c r="O89" s="53">
        <v>4.4050000000000002</v>
      </c>
      <c r="P89" s="55">
        <v>7.2284161474000436E-2</v>
      </c>
      <c r="Q89" s="156"/>
      <c r="R89" s="68">
        <v>4</v>
      </c>
      <c r="S89" s="52">
        <v>26</v>
      </c>
      <c r="T89" s="53">
        <v>6.5</v>
      </c>
      <c r="U89" s="52">
        <v>4</v>
      </c>
      <c r="V89" s="52">
        <v>5</v>
      </c>
      <c r="W89" s="152"/>
      <c r="X89" s="153"/>
      <c r="Y89" s="154"/>
      <c r="Z89" s="137"/>
      <c r="AA89" s="138"/>
      <c r="AB89" s="139"/>
      <c r="AC89" s="138"/>
      <c r="AD89" s="138"/>
      <c r="AE89" s="138"/>
      <c r="AF89" s="138"/>
      <c r="AG89" s="140"/>
    </row>
    <row r="90" spans="1:33" x14ac:dyDescent="0.3">
      <c r="A90" s="220"/>
      <c r="B90" s="42" t="s">
        <v>14</v>
      </c>
      <c r="C90" s="134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6"/>
      <c r="R90" s="134"/>
      <c r="S90" s="135"/>
      <c r="T90" s="135"/>
      <c r="U90" s="135"/>
      <c r="V90" s="135"/>
      <c r="W90" s="135"/>
      <c r="X90" s="135"/>
      <c r="Y90" s="135"/>
      <c r="Z90" s="2">
        <v>2</v>
      </c>
      <c r="AA90" s="3">
        <v>11</v>
      </c>
      <c r="AB90" s="4">
        <v>5.5</v>
      </c>
      <c r="AC90" s="3">
        <v>2</v>
      </c>
      <c r="AD90" s="3">
        <v>1</v>
      </c>
      <c r="AE90" s="3">
        <v>5</v>
      </c>
      <c r="AF90" s="4">
        <v>2.5</v>
      </c>
      <c r="AG90" s="120">
        <v>33.333333333333329</v>
      </c>
    </row>
    <row r="91" spans="1:33" x14ac:dyDescent="0.3">
      <c r="A91" s="220"/>
      <c r="B91" s="42" t="s">
        <v>16</v>
      </c>
      <c r="C91" s="134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6"/>
      <c r="R91" s="134"/>
      <c r="S91" s="135"/>
      <c r="T91" s="135"/>
      <c r="U91" s="135"/>
      <c r="V91" s="135"/>
      <c r="W91" s="135"/>
      <c r="X91" s="135"/>
      <c r="Y91" s="135"/>
      <c r="Z91" s="2">
        <v>2</v>
      </c>
      <c r="AA91" s="3">
        <v>4</v>
      </c>
      <c r="AB91" s="4">
        <v>2</v>
      </c>
      <c r="AC91" s="3">
        <v>0</v>
      </c>
      <c r="AD91" s="3">
        <v>0</v>
      </c>
      <c r="AE91" s="3">
        <v>2</v>
      </c>
      <c r="AF91" s="4">
        <v>1</v>
      </c>
      <c r="AG91" s="120">
        <v>0</v>
      </c>
    </row>
    <row r="92" spans="1:33" x14ac:dyDescent="0.3">
      <c r="A92" s="220"/>
      <c r="B92" s="42" t="s">
        <v>19</v>
      </c>
      <c r="C92" s="134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6"/>
      <c r="R92" s="134"/>
      <c r="S92" s="135"/>
      <c r="T92" s="135"/>
      <c r="U92" s="135"/>
      <c r="V92" s="135"/>
      <c r="W92" s="135"/>
      <c r="X92" s="135"/>
      <c r="Y92" s="135"/>
      <c r="Z92" s="2">
        <v>1</v>
      </c>
      <c r="AA92" s="3">
        <v>2</v>
      </c>
      <c r="AB92" s="4">
        <v>2</v>
      </c>
      <c r="AC92" s="3">
        <v>0</v>
      </c>
      <c r="AD92" s="18" t="s">
        <v>47</v>
      </c>
      <c r="AE92" s="3">
        <v>1</v>
      </c>
      <c r="AF92" s="4">
        <v>1</v>
      </c>
      <c r="AG92" s="121" t="s">
        <v>47</v>
      </c>
    </row>
    <row r="93" spans="1:33" s="29" customFormat="1" ht="16.5" customHeight="1" x14ac:dyDescent="0.3">
      <c r="A93" s="220"/>
      <c r="B93" s="41" t="s">
        <v>51</v>
      </c>
      <c r="C93" s="31">
        <v>6</v>
      </c>
      <c r="D93" s="32">
        <v>33</v>
      </c>
      <c r="E93" s="33">
        <v>5.5</v>
      </c>
      <c r="F93" s="32">
        <v>4</v>
      </c>
      <c r="G93" s="32">
        <v>13</v>
      </c>
      <c r="H93" s="144"/>
      <c r="I93" s="146"/>
      <c r="J93" s="147"/>
      <c r="K93" s="146"/>
      <c r="L93" s="33">
        <v>94.370499999999993</v>
      </c>
      <c r="M93" s="34">
        <v>0.40167928749523529</v>
      </c>
      <c r="N93" s="145"/>
      <c r="O93" s="33">
        <v>3.8149999999999999</v>
      </c>
      <c r="P93" s="37">
        <v>0.19968725547716384</v>
      </c>
      <c r="Q93" s="148"/>
      <c r="R93" s="31">
        <v>6</v>
      </c>
      <c r="S93" s="32">
        <v>34</v>
      </c>
      <c r="T93" s="33">
        <v>5.666666666666667</v>
      </c>
      <c r="U93" s="32">
        <v>6</v>
      </c>
      <c r="V93" s="32">
        <v>12</v>
      </c>
      <c r="W93" s="144"/>
      <c r="X93" s="146"/>
      <c r="Y93" s="147"/>
      <c r="Z93" s="137"/>
      <c r="AA93" s="138"/>
      <c r="AB93" s="139"/>
      <c r="AC93" s="138"/>
      <c r="AD93" s="138"/>
      <c r="AE93" s="138"/>
      <c r="AF93" s="138"/>
      <c r="AG93" s="140"/>
    </row>
    <row r="94" spans="1:33" x14ac:dyDescent="0.3">
      <c r="A94" s="220"/>
      <c r="B94" s="46" t="s">
        <v>12</v>
      </c>
      <c r="C94" s="134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6"/>
      <c r="R94" s="134"/>
      <c r="S94" s="135"/>
      <c r="T94" s="135"/>
      <c r="U94" s="135"/>
      <c r="V94" s="135"/>
      <c r="W94" s="135"/>
      <c r="X94" s="135"/>
      <c r="Y94" s="135"/>
      <c r="Z94" s="8">
        <v>3</v>
      </c>
      <c r="AA94" s="9">
        <v>10</v>
      </c>
      <c r="AB94" s="10">
        <v>3.3333333333333335</v>
      </c>
      <c r="AC94" s="9">
        <v>3</v>
      </c>
      <c r="AD94" s="3">
        <v>1</v>
      </c>
      <c r="AE94" s="9">
        <v>5</v>
      </c>
      <c r="AF94" s="10">
        <v>1.6666666666666667</v>
      </c>
      <c r="AG94" s="120">
        <v>50</v>
      </c>
    </row>
    <row r="95" spans="1:33" x14ac:dyDescent="0.3">
      <c r="A95" s="220"/>
      <c r="B95" s="42" t="s">
        <v>13</v>
      </c>
      <c r="C95" s="134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6"/>
      <c r="R95" s="134"/>
      <c r="S95" s="135"/>
      <c r="T95" s="135"/>
      <c r="U95" s="135"/>
      <c r="V95" s="135"/>
      <c r="W95" s="135"/>
      <c r="X95" s="135"/>
      <c r="Y95" s="135"/>
      <c r="Z95" s="134"/>
      <c r="AA95" s="135"/>
      <c r="AB95" s="141"/>
      <c r="AC95" s="135"/>
      <c r="AD95" s="135"/>
      <c r="AE95" s="135"/>
      <c r="AF95" s="141"/>
      <c r="AG95" s="142"/>
    </row>
    <row r="96" spans="1:33" x14ac:dyDescent="0.3">
      <c r="A96" s="220"/>
      <c r="B96" s="42" t="s">
        <v>45</v>
      </c>
      <c r="C96" s="134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6"/>
      <c r="R96" s="134"/>
      <c r="S96" s="135"/>
      <c r="T96" s="135"/>
      <c r="U96" s="135"/>
      <c r="V96" s="135"/>
      <c r="W96" s="135"/>
      <c r="X96" s="135"/>
      <c r="Y96" s="135"/>
      <c r="Z96" s="2">
        <v>5</v>
      </c>
      <c r="AA96" s="3">
        <v>14</v>
      </c>
      <c r="AB96" s="4">
        <v>2.8</v>
      </c>
      <c r="AC96" s="3">
        <v>4</v>
      </c>
      <c r="AD96" s="3">
        <v>4</v>
      </c>
      <c r="AE96" s="3">
        <v>9</v>
      </c>
      <c r="AF96" s="4">
        <v>1.8</v>
      </c>
      <c r="AG96" s="120">
        <v>100</v>
      </c>
    </row>
    <row r="97" spans="1:33" s="29" customFormat="1" ht="16.5" customHeight="1" x14ac:dyDescent="0.3">
      <c r="A97" s="220"/>
      <c r="B97" s="41" t="s">
        <v>52</v>
      </c>
      <c r="C97" s="31">
        <v>2</v>
      </c>
      <c r="D97" s="32">
        <v>19</v>
      </c>
      <c r="E97" s="33">
        <v>9.5</v>
      </c>
      <c r="F97" s="32">
        <v>2</v>
      </c>
      <c r="G97" s="32">
        <v>3</v>
      </c>
      <c r="H97" s="144"/>
      <c r="I97" s="146"/>
      <c r="J97" s="147"/>
      <c r="K97" s="146"/>
      <c r="L97" s="33">
        <v>92.907499999999999</v>
      </c>
      <c r="M97" s="34">
        <v>0.26550000000370444</v>
      </c>
      <c r="N97" s="145"/>
      <c r="O97" s="33">
        <v>4.24</v>
      </c>
      <c r="P97" s="37">
        <v>0.17000000000000043</v>
      </c>
      <c r="Q97" s="148"/>
      <c r="R97" s="31">
        <v>2</v>
      </c>
      <c r="S97" s="32">
        <v>10</v>
      </c>
      <c r="T97" s="33">
        <v>5</v>
      </c>
      <c r="U97" s="32">
        <v>2</v>
      </c>
      <c r="V97" s="32">
        <v>4</v>
      </c>
      <c r="W97" s="144"/>
      <c r="X97" s="146"/>
      <c r="Y97" s="147"/>
      <c r="Z97" s="2">
        <v>2</v>
      </c>
      <c r="AA97" s="3">
        <v>5</v>
      </c>
      <c r="AB97" s="4">
        <v>2.5</v>
      </c>
      <c r="AC97" s="3">
        <v>1</v>
      </c>
      <c r="AD97" s="18" t="s">
        <v>47</v>
      </c>
      <c r="AE97" s="3">
        <v>2</v>
      </c>
      <c r="AF97" s="4">
        <v>1</v>
      </c>
      <c r="AG97" s="121" t="s">
        <v>47</v>
      </c>
    </row>
    <row r="98" spans="1:33" s="29" customFormat="1" ht="16.5" customHeight="1" x14ac:dyDescent="0.3">
      <c r="A98" s="220"/>
      <c r="B98" s="41" t="s">
        <v>53</v>
      </c>
      <c r="C98" s="31">
        <v>3</v>
      </c>
      <c r="D98" s="32">
        <v>16</v>
      </c>
      <c r="E98" s="33">
        <v>5.333333333333333</v>
      </c>
      <c r="F98" s="32">
        <v>3</v>
      </c>
      <c r="G98" s="32">
        <v>2</v>
      </c>
      <c r="H98" s="144"/>
      <c r="I98" s="146"/>
      <c r="J98" s="147"/>
      <c r="K98" s="146"/>
      <c r="L98" s="33">
        <v>91.934000000000012</v>
      </c>
      <c r="M98" s="34">
        <v>0.72973465497100487</v>
      </c>
      <c r="N98" s="145"/>
      <c r="O98" s="33">
        <v>4.79</v>
      </c>
      <c r="P98" s="37">
        <v>0.35393031329156155</v>
      </c>
      <c r="Q98" s="148"/>
      <c r="R98" s="31">
        <v>3</v>
      </c>
      <c r="S98" s="32">
        <v>9</v>
      </c>
      <c r="T98" s="33">
        <v>3</v>
      </c>
      <c r="U98" s="32">
        <v>3</v>
      </c>
      <c r="V98" s="32">
        <v>3</v>
      </c>
      <c r="W98" s="144"/>
      <c r="X98" s="146"/>
      <c r="Y98" s="147"/>
      <c r="Z98" s="137"/>
      <c r="AA98" s="138"/>
      <c r="AB98" s="139"/>
      <c r="AC98" s="138"/>
      <c r="AD98" s="138"/>
      <c r="AE98" s="138"/>
      <c r="AF98" s="138"/>
      <c r="AG98" s="140"/>
    </row>
    <row r="99" spans="1:33" x14ac:dyDescent="0.3">
      <c r="A99" s="220"/>
      <c r="B99" s="42" t="s">
        <v>46</v>
      </c>
      <c r="C99" s="134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6"/>
      <c r="R99" s="134"/>
      <c r="S99" s="135"/>
      <c r="T99" s="135"/>
      <c r="U99" s="135"/>
      <c r="V99" s="135"/>
      <c r="W99" s="135"/>
      <c r="X99" s="135"/>
      <c r="Y99" s="135"/>
      <c r="Z99" s="2">
        <v>3</v>
      </c>
      <c r="AA99" s="3">
        <v>6</v>
      </c>
      <c r="AB99" s="4">
        <v>2</v>
      </c>
      <c r="AC99" s="3">
        <v>2</v>
      </c>
      <c r="AD99" s="18" t="s">
        <v>47</v>
      </c>
      <c r="AE99" s="3">
        <v>2</v>
      </c>
      <c r="AF99" s="4">
        <v>0.66666666666666663</v>
      </c>
      <c r="AG99" s="121" t="s">
        <v>47</v>
      </c>
    </row>
    <row r="100" spans="1:33" x14ac:dyDescent="0.3">
      <c r="A100" s="220"/>
      <c r="B100" s="42" t="s">
        <v>21</v>
      </c>
      <c r="C100" s="134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6"/>
      <c r="R100" s="134"/>
      <c r="S100" s="135"/>
      <c r="T100" s="135"/>
      <c r="U100" s="135"/>
      <c r="V100" s="135"/>
      <c r="W100" s="135"/>
      <c r="X100" s="135"/>
      <c r="Y100" s="135"/>
      <c r="Z100" s="2">
        <v>1</v>
      </c>
      <c r="AA100" s="3">
        <v>2</v>
      </c>
      <c r="AB100" s="4">
        <v>2</v>
      </c>
      <c r="AC100" s="3">
        <v>1</v>
      </c>
      <c r="AD100" s="3">
        <v>1</v>
      </c>
      <c r="AE100" s="3">
        <v>2</v>
      </c>
      <c r="AF100" s="4">
        <v>2</v>
      </c>
      <c r="AG100" s="118">
        <v>100</v>
      </c>
    </row>
    <row r="101" spans="1:33" s="29" customFormat="1" ht="16.5" customHeight="1" x14ac:dyDescent="0.3">
      <c r="A101" s="220"/>
      <c r="B101" s="41" t="s">
        <v>54</v>
      </c>
      <c r="C101" s="31">
        <v>4</v>
      </c>
      <c r="D101" s="32">
        <v>20</v>
      </c>
      <c r="E101" s="33">
        <v>5</v>
      </c>
      <c r="F101" s="32">
        <v>4</v>
      </c>
      <c r="G101" s="32">
        <v>9</v>
      </c>
      <c r="H101" s="144"/>
      <c r="I101" s="146"/>
      <c r="J101" s="147"/>
      <c r="K101" s="146"/>
      <c r="L101" s="33">
        <v>87.828249999999997</v>
      </c>
      <c r="M101" s="34">
        <v>3.091625088444693</v>
      </c>
      <c r="N101" s="145"/>
      <c r="O101" s="33">
        <v>5.1875</v>
      </c>
      <c r="P101" s="37">
        <v>0.68612589952573411</v>
      </c>
      <c r="Q101" s="148"/>
      <c r="R101" s="31">
        <v>4</v>
      </c>
      <c r="S101" s="32">
        <v>14</v>
      </c>
      <c r="T101" s="33">
        <v>3.5</v>
      </c>
      <c r="U101" s="32">
        <v>4</v>
      </c>
      <c r="V101" s="32">
        <v>5</v>
      </c>
      <c r="W101" s="144"/>
      <c r="X101" s="146"/>
      <c r="Y101" s="147"/>
      <c r="Z101" s="137"/>
      <c r="AA101" s="138"/>
      <c r="AB101" s="139"/>
      <c r="AC101" s="138"/>
      <c r="AD101" s="138"/>
      <c r="AE101" s="138"/>
      <c r="AF101" s="138"/>
      <c r="AG101" s="140"/>
    </row>
    <row r="102" spans="1:33" x14ac:dyDescent="0.3">
      <c r="A102" s="220"/>
      <c r="B102" s="42" t="s">
        <v>34</v>
      </c>
      <c r="C102" s="134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6"/>
      <c r="R102" s="134"/>
      <c r="S102" s="135"/>
      <c r="T102" s="135"/>
      <c r="U102" s="135"/>
      <c r="V102" s="135"/>
      <c r="W102" s="135"/>
      <c r="X102" s="135"/>
      <c r="Y102" s="135"/>
      <c r="Z102" s="2">
        <v>1</v>
      </c>
      <c r="AA102" s="3">
        <v>2</v>
      </c>
      <c r="AB102" s="4">
        <v>2</v>
      </c>
      <c r="AC102" s="3">
        <v>1</v>
      </c>
      <c r="AD102" s="3">
        <v>0</v>
      </c>
      <c r="AE102" s="3">
        <v>2</v>
      </c>
      <c r="AF102" s="4">
        <v>2</v>
      </c>
      <c r="AG102" s="122">
        <v>0</v>
      </c>
    </row>
    <row r="103" spans="1:33" x14ac:dyDescent="0.3">
      <c r="A103" s="220"/>
      <c r="B103" s="42" t="s">
        <v>15</v>
      </c>
      <c r="C103" s="134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6"/>
      <c r="R103" s="134"/>
      <c r="S103" s="135"/>
      <c r="T103" s="135"/>
      <c r="U103" s="135"/>
      <c r="V103" s="135"/>
      <c r="W103" s="135"/>
      <c r="X103" s="135"/>
      <c r="Y103" s="135"/>
      <c r="Z103" s="2">
        <v>5</v>
      </c>
      <c r="AA103" s="3">
        <v>10</v>
      </c>
      <c r="AB103" s="4">
        <v>2</v>
      </c>
      <c r="AC103" s="3">
        <v>5</v>
      </c>
      <c r="AD103" s="3">
        <v>1</v>
      </c>
      <c r="AE103" s="3">
        <v>6</v>
      </c>
      <c r="AF103" s="4">
        <v>1.2</v>
      </c>
      <c r="AG103" s="120">
        <v>100</v>
      </c>
    </row>
    <row r="104" spans="1:33" s="29" customFormat="1" ht="16.5" customHeight="1" x14ac:dyDescent="0.3">
      <c r="A104" s="220"/>
      <c r="B104" s="41" t="s">
        <v>55</v>
      </c>
      <c r="C104" s="31">
        <v>6</v>
      </c>
      <c r="D104" s="32">
        <v>56</v>
      </c>
      <c r="E104" s="33">
        <v>9.3333333333333339</v>
      </c>
      <c r="F104" s="32">
        <v>6</v>
      </c>
      <c r="G104" s="32">
        <v>14</v>
      </c>
      <c r="H104" s="144"/>
      <c r="I104" s="146"/>
      <c r="J104" s="147"/>
      <c r="K104" s="146"/>
      <c r="L104" s="33">
        <v>95.55916666666667</v>
      </c>
      <c r="M104" s="34">
        <v>0.55748465350065579</v>
      </c>
      <c r="N104" s="145"/>
      <c r="O104" s="33">
        <v>3.2183333333333333</v>
      </c>
      <c r="P104" s="37">
        <v>0.27775388786158245</v>
      </c>
      <c r="Q104" s="148"/>
      <c r="R104" s="31">
        <v>6</v>
      </c>
      <c r="S104" s="32">
        <v>36</v>
      </c>
      <c r="T104" s="33">
        <v>6</v>
      </c>
      <c r="U104" s="32">
        <v>6</v>
      </c>
      <c r="V104" s="32">
        <v>19</v>
      </c>
      <c r="W104" s="144"/>
      <c r="X104" s="146"/>
      <c r="Y104" s="147"/>
      <c r="Z104" s="2">
        <v>8</v>
      </c>
      <c r="AA104" s="3">
        <v>27</v>
      </c>
      <c r="AB104" s="4">
        <v>3.375</v>
      </c>
      <c r="AC104" s="3">
        <v>8</v>
      </c>
      <c r="AD104" s="3">
        <v>9</v>
      </c>
      <c r="AE104" s="3">
        <v>21</v>
      </c>
      <c r="AF104" s="4">
        <v>2.625</v>
      </c>
      <c r="AG104" s="120">
        <v>69.230769230769226</v>
      </c>
    </row>
    <row r="105" spans="1:33" s="29" customFormat="1" ht="16.5" customHeight="1" x14ac:dyDescent="0.3">
      <c r="A105" s="220"/>
      <c r="B105" s="41" t="s">
        <v>56</v>
      </c>
      <c r="C105" s="31">
        <v>5</v>
      </c>
      <c r="D105" s="32">
        <v>43</v>
      </c>
      <c r="E105" s="33">
        <v>8.6</v>
      </c>
      <c r="F105" s="32">
        <v>5</v>
      </c>
      <c r="G105" s="32">
        <v>13</v>
      </c>
      <c r="H105" s="144"/>
      <c r="I105" s="146"/>
      <c r="J105" s="147"/>
      <c r="K105" s="146"/>
      <c r="L105" s="33">
        <v>94.808799999999991</v>
      </c>
      <c r="M105" s="34">
        <v>0.27423303958442524</v>
      </c>
      <c r="N105" s="145"/>
      <c r="O105" s="33">
        <v>3.5939999999999999</v>
      </c>
      <c r="P105" s="37">
        <v>0.13661625086350865</v>
      </c>
      <c r="Q105" s="148"/>
      <c r="R105" s="31">
        <v>4</v>
      </c>
      <c r="S105" s="32">
        <v>30</v>
      </c>
      <c r="T105" s="33">
        <v>7.5</v>
      </c>
      <c r="U105" s="32">
        <v>4</v>
      </c>
      <c r="V105" s="32">
        <v>18</v>
      </c>
      <c r="W105" s="144"/>
      <c r="X105" s="146"/>
      <c r="Y105" s="147"/>
      <c r="Z105" s="137"/>
      <c r="AA105" s="138"/>
      <c r="AB105" s="139"/>
      <c r="AC105" s="138"/>
      <c r="AD105" s="138"/>
      <c r="AE105" s="138"/>
      <c r="AF105" s="138"/>
      <c r="AG105" s="140"/>
    </row>
    <row r="106" spans="1:33" x14ac:dyDescent="0.3">
      <c r="A106" s="220"/>
      <c r="B106" s="42" t="s">
        <v>17</v>
      </c>
      <c r="C106" s="134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6"/>
      <c r="R106" s="134"/>
      <c r="S106" s="135"/>
      <c r="T106" s="135"/>
      <c r="U106" s="135"/>
      <c r="V106" s="135"/>
      <c r="W106" s="135"/>
      <c r="X106" s="135"/>
      <c r="Y106" s="135"/>
      <c r="Z106" s="2">
        <v>3</v>
      </c>
      <c r="AA106" s="3">
        <v>7</v>
      </c>
      <c r="AB106" s="4">
        <v>2.3333333333333335</v>
      </c>
      <c r="AC106" s="3">
        <v>3</v>
      </c>
      <c r="AD106" s="3">
        <v>3</v>
      </c>
      <c r="AE106" s="3">
        <v>7</v>
      </c>
      <c r="AF106" s="4">
        <v>2.3333333333333335</v>
      </c>
      <c r="AG106" s="120">
        <v>75</v>
      </c>
    </row>
    <row r="107" spans="1:33" x14ac:dyDescent="0.3">
      <c r="A107" s="220"/>
      <c r="B107" s="42" t="s">
        <v>18</v>
      </c>
      <c r="C107" s="134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6"/>
      <c r="R107" s="134"/>
      <c r="S107" s="135"/>
      <c r="T107" s="135"/>
      <c r="U107" s="135"/>
      <c r="V107" s="135"/>
      <c r="W107" s="135"/>
      <c r="X107" s="135"/>
      <c r="Y107" s="135"/>
      <c r="Z107" s="2">
        <v>2</v>
      </c>
      <c r="AA107" s="3">
        <v>7</v>
      </c>
      <c r="AB107" s="4">
        <v>3.5</v>
      </c>
      <c r="AC107" s="3">
        <v>2</v>
      </c>
      <c r="AD107" s="3">
        <v>2</v>
      </c>
      <c r="AE107" s="3">
        <v>7</v>
      </c>
      <c r="AF107" s="4">
        <v>3.5</v>
      </c>
      <c r="AG107" s="120">
        <v>40</v>
      </c>
    </row>
    <row r="108" spans="1:33" s="29" customFormat="1" ht="16.5" customHeight="1" x14ac:dyDescent="0.3">
      <c r="A108" s="220"/>
      <c r="B108" s="41" t="s">
        <v>57</v>
      </c>
      <c r="C108" s="143"/>
      <c r="D108" s="144"/>
      <c r="E108" s="145"/>
      <c r="F108" s="144"/>
      <c r="G108" s="144"/>
      <c r="H108" s="144"/>
      <c r="I108" s="146"/>
      <c r="J108" s="147"/>
      <c r="K108" s="146"/>
      <c r="L108" s="145"/>
      <c r="M108" s="146"/>
      <c r="N108" s="145"/>
      <c r="O108" s="145"/>
      <c r="P108" s="149"/>
      <c r="Q108" s="148"/>
      <c r="R108" s="31">
        <v>1</v>
      </c>
      <c r="S108" s="32">
        <v>2</v>
      </c>
      <c r="T108" s="33">
        <v>2</v>
      </c>
      <c r="U108" s="32">
        <v>1</v>
      </c>
      <c r="V108" s="32">
        <v>0</v>
      </c>
      <c r="W108" s="144"/>
      <c r="X108" s="146"/>
      <c r="Y108" s="147"/>
      <c r="Z108" s="2">
        <v>1</v>
      </c>
      <c r="AA108" s="3">
        <v>5</v>
      </c>
      <c r="AB108" s="4">
        <v>5</v>
      </c>
      <c r="AC108" s="3">
        <v>1</v>
      </c>
      <c r="AD108" s="3">
        <v>0</v>
      </c>
      <c r="AE108" s="3">
        <v>3</v>
      </c>
      <c r="AF108" s="4">
        <v>3</v>
      </c>
      <c r="AG108" s="120">
        <v>0</v>
      </c>
    </row>
    <row r="109" spans="1:33" s="29" customFormat="1" ht="16.5" customHeight="1" x14ac:dyDescent="0.3">
      <c r="A109" s="220"/>
      <c r="B109" s="41" t="s">
        <v>58</v>
      </c>
      <c r="C109" s="31">
        <v>3</v>
      </c>
      <c r="D109" s="32">
        <v>7</v>
      </c>
      <c r="E109" s="33">
        <v>2.3333333333333335</v>
      </c>
      <c r="F109" s="32">
        <v>3</v>
      </c>
      <c r="G109" s="32">
        <v>3</v>
      </c>
      <c r="H109" s="144"/>
      <c r="I109" s="146"/>
      <c r="J109" s="147"/>
      <c r="K109" s="146"/>
      <c r="L109" s="33">
        <v>89.38266666666668</v>
      </c>
      <c r="M109" s="34">
        <v>3.9206007476176299</v>
      </c>
      <c r="N109" s="145"/>
      <c r="O109" s="33">
        <v>4.88</v>
      </c>
      <c r="P109" s="37">
        <v>0.72585581672027788</v>
      </c>
      <c r="Q109" s="148"/>
      <c r="R109" s="31">
        <v>3</v>
      </c>
      <c r="S109" s="32">
        <v>12</v>
      </c>
      <c r="T109" s="33">
        <v>4</v>
      </c>
      <c r="U109" s="32">
        <v>3</v>
      </c>
      <c r="V109" s="32">
        <v>0</v>
      </c>
      <c r="W109" s="144"/>
      <c r="X109" s="146"/>
      <c r="Y109" s="147"/>
      <c r="Z109" s="137"/>
      <c r="AA109" s="138"/>
      <c r="AB109" s="139"/>
      <c r="AC109" s="138"/>
      <c r="AD109" s="138"/>
      <c r="AE109" s="138"/>
      <c r="AF109" s="138"/>
      <c r="AG109" s="140"/>
    </row>
    <row r="110" spans="1:33" x14ac:dyDescent="0.3">
      <c r="A110" s="220"/>
      <c r="B110" s="42" t="s">
        <v>36</v>
      </c>
      <c r="C110" s="134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6"/>
      <c r="R110" s="134"/>
      <c r="S110" s="135"/>
      <c r="T110" s="135"/>
      <c r="U110" s="135"/>
      <c r="V110" s="135"/>
      <c r="W110" s="135"/>
      <c r="X110" s="135"/>
      <c r="Y110" s="135"/>
      <c r="Z110" s="2">
        <v>1</v>
      </c>
      <c r="AA110" s="3">
        <v>1</v>
      </c>
      <c r="AB110" s="4">
        <v>1</v>
      </c>
      <c r="AC110" s="3">
        <v>0</v>
      </c>
      <c r="AD110" s="18" t="s">
        <v>47</v>
      </c>
      <c r="AE110" s="3">
        <v>0</v>
      </c>
      <c r="AF110" s="4">
        <v>0</v>
      </c>
      <c r="AG110" s="121" t="s">
        <v>47</v>
      </c>
    </row>
    <row r="111" spans="1:33" x14ac:dyDescent="0.3">
      <c r="A111" s="220"/>
      <c r="B111" s="42" t="s">
        <v>38</v>
      </c>
      <c r="C111" s="134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6"/>
      <c r="R111" s="134"/>
      <c r="S111" s="135"/>
      <c r="T111" s="135"/>
      <c r="U111" s="135"/>
      <c r="V111" s="135"/>
      <c r="W111" s="135"/>
      <c r="X111" s="135"/>
      <c r="Y111" s="135"/>
      <c r="Z111" s="2">
        <v>2</v>
      </c>
      <c r="AA111" s="3">
        <v>8</v>
      </c>
      <c r="AB111" s="4">
        <v>4</v>
      </c>
      <c r="AC111" s="3">
        <v>1</v>
      </c>
      <c r="AD111" s="3">
        <v>2</v>
      </c>
      <c r="AE111" s="3">
        <v>4</v>
      </c>
      <c r="AF111" s="4">
        <v>2</v>
      </c>
      <c r="AG111" s="120">
        <v>100</v>
      </c>
    </row>
    <row r="112" spans="1:33" x14ac:dyDescent="0.3">
      <c r="A112" s="220"/>
      <c r="B112" s="42" t="s">
        <v>20</v>
      </c>
      <c r="C112" s="134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6"/>
      <c r="R112" s="134"/>
      <c r="S112" s="135"/>
      <c r="T112" s="135"/>
      <c r="U112" s="135"/>
      <c r="V112" s="135"/>
      <c r="W112" s="135"/>
      <c r="X112" s="135"/>
      <c r="Y112" s="135"/>
      <c r="Z112" s="2">
        <v>1</v>
      </c>
      <c r="AA112" s="3">
        <v>1</v>
      </c>
      <c r="AB112" s="4">
        <v>1</v>
      </c>
      <c r="AC112" s="3">
        <v>0</v>
      </c>
      <c r="AD112" s="18" t="s">
        <v>47</v>
      </c>
      <c r="AE112" s="3">
        <v>1</v>
      </c>
      <c r="AF112" s="4">
        <v>1</v>
      </c>
      <c r="AG112" s="121" t="s">
        <v>47</v>
      </c>
    </row>
    <row r="113" spans="1:33" s="29" customFormat="1" ht="16.5" customHeight="1" x14ac:dyDescent="0.3">
      <c r="A113" s="220"/>
      <c r="B113" s="41" t="s">
        <v>59</v>
      </c>
      <c r="C113" s="31">
        <v>2</v>
      </c>
      <c r="D113" s="32">
        <v>7</v>
      </c>
      <c r="E113" s="33">
        <v>3.5</v>
      </c>
      <c r="F113" s="32">
        <v>1</v>
      </c>
      <c r="G113" s="32">
        <v>4</v>
      </c>
      <c r="H113" s="144"/>
      <c r="I113" s="146"/>
      <c r="J113" s="147"/>
      <c r="K113" s="146"/>
      <c r="L113" s="33">
        <v>85.885999999999996</v>
      </c>
      <c r="M113" s="34">
        <v>0</v>
      </c>
      <c r="N113" s="145"/>
      <c r="O113" s="33">
        <v>5.28</v>
      </c>
      <c r="P113" s="37">
        <v>0</v>
      </c>
      <c r="Q113" s="148"/>
      <c r="R113" s="31">
        <v>2</v>
      </c>
      <c r="S113" s="32">
        <v>6</v>
      </c>
      <c r="T113" s="33">
        <v>3</v>
      </c>
      <c r="U113" s="32">
        <v>2</v>
      </c>
      <c r="V113" s="32">
        <v>0</v>
      </c>
      <c r="W113" s="144"/>
      <c r="X113" s="146"/>
      <c r="Y113" s="147"/>
      <c r="Z113" s="2">
        <v>2</v>
      </c>
      <c r="AA113" s="3">
        <v>4</v>
      </c>
      <c r="AB113" s="4">
        <v>2</v>
      </c>
      <c r="AC113" s="3">
        <v>2</v>
      </c>
      <c r="AD113" s="3">
        <v>0</v>
      </c>
      <c r="AE113" s="3">
        <v>3</v>
      </c>
      <c r="AF113" s="4">
        <v>1.5</v>
      </c>
      <c r="AG113" s="120">
        <v>0</v>
      </c>
    </row>
    <row r="114" spans="1:33" s="29" customFormat="1" ht="16.5" customHeight="1" x14ac:dyDescent="0.3">
      <c r="A114" s="220"/>
      <c r="B114" s="41" t="s">
        <v>60</v>
      </c>
      <c r="C114" s="31">
        <v>2</v>
      </c>
      <c r="D114" s="32">
        <v>8</v>
      </c>
      <c r="E114" s="33">
        <v>4</v>
      </c>
      <c r="F114" s="32">
        <v>2</v>
      </c>
      <c r="G114" s="32">
        <v>4</v>
      </c>
      <c r="H114" s="144"/>
      <c r="I114" s="146"/>
      <c r="J114" s="147"/>
      <c r="K114" s="146"/>
      <c r="L114" s="33">
        <v>93.527999999999992</v>
      </c>
      <c r="M114" s="34">
        <v>0.93700000000054995</v>
      </c>
      <c r="N114" s="145"/>
      <c r="O114" s="33">
        <v>4.2350000000000003</v>
      </c>
      <c r="P114" s="37">
        <v>0.46499999999999775</v>
      </c>
      <c r="Q114" s="148"/>
      <c r="R114" s="31">
        <v>2</v>
      </c>
      <c r="S114" s="32">
        <v>4</v>
      </c>
      <c r="T114" s="33">
        <v>2</v>
      </c>
      <c r="U114" s="32">
        <v>2</v>
      </c>
      <c r="V114" s="32">
        <v>0</v>
      </c>
      <c r="W114" s="144"/>
      <c r="X114" s="146"/>
      <c r="Y114" s="147"/>
      <c r="Z114" s="2">
        <v>2</v>
      </c>
      <c r="AA114" s="3">
        <v>5</v>
      </c>
      <c r="AB114" s="4">
        <v>2.5</v>
      </c>
      <c r="AC114" s="3">
        <v>0</v>
      </c>
      <c r="AD114" s="3">
        <v>2</v>
      </c>
      <c r="AE114" s="3">
        <v>4</v>
      </c>
      <c r="AF114" s="4">
        <v>2</v>
      </c>
      <c r="AG114" s="120">
        <v>100</v>
      </c>
    </row>
    <row r="115" spans="1:33" s="29" customFormat="1" ht="16.5" customHeight="1" x14ac:dyDescent="0.3">
      <c r="A115" s="220"/>
      <c r="B115" s="41" t="s">
        <v>61</v>
      </c>
      <c r="C115" s="31">
        <v>1</v>
      </c>
      <c r="D115" s="32">
        <v>9</v>
      </c>
      <c r="E115" s="33">
        <v>9</v>
      </c>
      <c r="F115" s="32">
        <v>1</v>
      </c>
      <c r="G115" s="32">
        <v>1</v>
      </c>
      <c r="H115" s="144"/>
      <c r="I115" s="146"/>
      <c r="J115" s="147"/>
      <c r="K115" s="146"/>
      <c r="L115" s="33">
        <v>93.382000000000005</v>
      </c>
      <c r="M115" s="34">
        <v>0</v>
      </c>
      <c r="N115" s="145"/>
      <c r="O115" s="33">
        <v>4.3099999999999996</v>
      </c>
      <c r="P115" s="37">
        <v>0</v>
      </c>
      <c r="Q115" s="148"/>
      <c r="R115" s="31">
        <v>1</v>
      </c>
      <c r="S115" s="32">
        <v>1</v>
      </c>
      <c r="T115" s="33">
        <v>1</v>
      </c>
      <c r="U115" s="32">
        <v>1</v>
      </c>
      <c r="V115" s="32">
        <v>0</v>
      </c>
      <c r="W115" s="144"/>
      <c r="X115" s="146"/>
      <c r="Y115" s="147"/>
      <c r="Z115" s="137"/>
      <c r="AA115" s="138"/>
      <c r="AB115" s="139"/>
      <c r="AC115" s="138"/>
      <c r="AD115" s="138"/>
      <c r="AE115" s="138"/>
      <c r="AF115" s="138"/>
      <c r="AG115" s="140"/>
    </row>
    <row r="116" spans="1:33" s="29" customFormat="1" ht="16.5" customHeight="1" x14ac:dyDescent="0.3">
      <c r="A116" s="220"/>
      <c r="B116" s="41" t="s">
        <v>62</v>
      </c>
      <c r="C116" s="31">
        <v>11</v>
      </c>
      <c r="D116" s="32">
        <v>48</v>
      </c>
      <c r="E116" s="33">
        <v>4.3636363636363633</v>
      </c>
      <c r="F116" s="32">
        <v>11</v>
      </c>
      <c r="G116" s="32">
        <v>8</v>
      </c>
      <c r="H116" s="144"/>
      <c r="I116" s="146"/>
      <c r="J116" s="147"/>
      <c r="K116" s="146"/>
      <c r="L116" s="33">
        <v>93.729727272727274</v>
      </c>
      <c r="M116" s="34">
        <v>0.5300600464951033</v>
      </c>
      <c r="N116" s="145"/>
      <c r="O116" s="33">
        <v>4.1345454545454547</v>
      </c>
      <c r="P116" s="37">
        <v>0.2661292794647514</v>
      </c>
      <c r="Q116" s="148"/>
      <c r="R116" s="31">
        <v>11</v>
      </c>
      <c r="S116" s="32">
        <v>29</v>
      </c>
      <c r="T116" s="33">
        <v>2.6363636363636362</v>
      </c>
      <c r="U116" s="32">
        <v>11</v>
      </c>
      <c r="V116" s="32">
        <v>7</v>
      </c>
      <c r="W116" s="144"/>
      <c r="X116" s="146"/>
      <c r="Y116" s="147"/>
      <c r="Z116" s="2">
        <v>2</v>
      </c>
      <c r="AA116" s="3">
        <v>6</v>
      </c>
      <c r="AB116" s="4">
        <v>3</v>
      </c>
      <c r="AC116" s="3">
        <v>0</v>
      </c>
      <c r="AD116" s="18" t="s">
        <v>47</v>
      </c>
      <c r="AE116" s="3">
        <v>2</v>
      </c>
      <c r="AF116" s="4">
        <v>1</v>
      </c>
      <c r="AG116" s="121" t="s">
        <v>47</v>
      </c>
    </row>
    <row r="117" spans="1:33" s="29" customFormat="1" ht="16.5" customHeight="1" thickBot="1" x14ac:dyDescent="0.35">
      <c r="A117" s="221"/>
      <c r="B117" s="56" t="s">
        <v>63</v>
      </c>
      <c r="C117" s="69">
        <v>49</v>
      </c>
      <c r="D117" s="57">
        <v>291</v>
      </c>
      <c r="E117" s="58">
        <v>5.9387755102040813</v>
      </c>
      <c r="F117" s="57">
        <v>46</v>
      </c>
      <c r="G117" s="57">
        <v>81</v>
      </c>
      <c r="H117" s="159"/>
      <c r="I117" s="160"/>
      <c r="J117" s="161"/>
      <c r="K117" s="160"/>
      <c r="L117" s="58">
        <v>92.957913043478271</v>
      </c>
      <c r="M117" s="59">
        <v>2.8128766246461012</v>
      </c>
      <c r="N117" s="150"/>
      <c r="O117" s="58">
        <v>4.1726086956521735</v>
      </c>
      <c r="P117" s="60">
        <v>0.68767862432910876</v>
      </c>
      <c r="Q117" s="151"/>
      <c r="R117" s="69">
        <v>49</v>
      </c>
      <c r="S117" s="57">
        <v>213</v>
      </c>
      <c r="T117" s="58">
        <v>4.3469387755102042</v>
      </c>
      <c r="U117" s="57">
        <v>49</v>
      </c>
      <c r="V117" s="57">
        <v>73</v>
      </c>
      <c r="W117" s="159"/>
      <c r="X117" s="160"/>
      <c r="Y117" s="161"/>
      <c r="Z117" s="5">
        <v>49</v>
      </c>
      <c r="AA117" s="6">
        <v>137</v>
      </c>
      <c r="AB117" s="7">
        <v>2.795918367346939</v>
      </c>
      <c r="AC117" s="6">
        <v>36</v>
      </c>
      <c r="AD117" s="6">
        <v>26</v>
      </c>
      <c r="AE117" s="6">
        <v>88</v>
      </c>
      <c r="AF117" s="7">
        <v>1.7959183673469388</v>
      </c>
      <c r="AG117" s="119">
        <v>66.666666666666657</v>
      </c>
    </row>
    <row r="118" spans="1:33" s="29" customFormat="1" ht="16.5" customHeight="1" x14ac:dyDescent="0.3">
      <c r="A118" s="219" t="s">
        <v>87</v>
      </c>
      <c r="B118" s="51" t="s">
        <v>50</v>
      </c>
      <c r="C118" s="68">
        <v>3</v>
      </c>
      <c r="D118" s="52">
        <v>35</v>
      </c>
      <c r="E118" s="53">
        <v>11.666666666666666</v>
      </c>
      <c r="F118" s="52">
        <v>3</v>
      </c>
      <c r="G118" s="52">
        <v>11</v>
      </c>
      <c r="H118" s="152"/>
      <c r="I118" s="153"/>
      <c r="J118" s="154"/>
      <c r="K118" s="153"/>
      <c r="L118" s="53">
        <v>97.226666666666674</v>
      </c>
      <c r="M118" s="54">
        <v>0.41857323798185808</v>
      </c>
      <c r="N118" s="155"/>
      <c r="O118" s="53">
        <v>2.3833333333333333</v>
      </c>
      <c r="P118" s="55">
        <v>0.20949675149961161</v>
      </c>
      <c r="Q118" s="156"/>
      <c r="R118" s="68">
        <v>3</v>
      </c>
      <c r="S118" s="52">
        <v>20</v>
      </c>
      <c r="T118" s="53">
        <v>6.666666666666667</v>
      </c>
      <c r="U118" s="52">
        <v>3</v>
      </c>
      <c r="V118" s="52">
        <v>8</v>
      </c>
      <c r="W118" s="152"/>
      <c r="X118" s="153"/>
      <c r="Y118" s="154"/>
      <c r="Z118" s="137"/>
      <c r="AA118" s="138"/>
      <c r="AB118" s="139"/>
      <c r="AC118" s="138"/>
      <c r="AD118" s="138"/>
      <c r="AE118" s="138"/>
      <c r="AF118" s="138"/>
      <c r="AG118" s="140"/>
    </row>
    <row r="119" spans="1:33" x14ac:dyDescent="0.3">
      <c r="A119" s="220"/>
      <c r="B119" s="42" t="s">
        <v>14</v>
      </c>
      <c r="C119" s="134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6"/>
      <c r="R119" s="134"/>
      <c r="S119" s="135"/>
      <c r="T119" s="135"/>
      <c r="U119" s="135"/>
      <c r="V119" s="135"/>
      <c r="W119" s="135"/>
      <c r="X119" s="135"/>
      <c r="Y119" s="135"/>
      <c r="Z119" s="2">
        <v>1</v>
      </c>
      <c r="AA119" s="3">
        <v>11</v>
      </c>
      <c r="AB119" s="4">
        <v>11</v>
      </c>
      <c r="AC119" s="3">
        <v>1</v>
      </c>
      <c r="AD119" s="9">
        <v>1</v>
      </c>
      <c r="AE119" s="135"/>
      <c r="AF119" s="135"/>
      <c r="AG119" s="136"/>
    </row>
    <row r="120" spans="1:33" x14ac:dyDescent="0.3">
      <c r="A120" s="220"/>
      <c r="B120" s="42" t="s">
        <v>16</v>
      </c>
      <c r="C120" s="134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6"/>
      <c r="R120" s="134"/>
      <c r="S120" s="135"/>
      <c r="T120" s="135"/>
      <c r="U120" s="135"/>
      <c r="V120" s="135"/>
      <c r="W120" s="135"/>
      <c r="X120" s="135"/>
      <c r="Y120" s="135"/>
      <c r="Z120" s="2">
        <v>1</v>
      </c>
      <c r="AA120" s="3">
        <v>13</v>
      </c>
      <c r="AB120" s="4">
        <v>13</v>
      </c>
      <c r="AC120" s="3">
        <v>1</v>
      </c>
      <c r="AD120" s="9">
        <v>5</v>
      </c>
      <c r="AE120" s="135"/>
      <c r="AF120" s="135"/>
      <c r="AG120" s="136"/>
    </row>
    <row r="121" spans="1:33" x14ac:dyDescent="0.3">
      <c r="A121" s="220"/>
      <c r="B121" s="42" t="s">
        <v>19</v>
      </c>
      <c r="C121" s="134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6"/>
      <c r="R121" s="134"/>
      <c r="S121" s="135"/>
      <c r="T121" s="135"/>
      <c r="U121" s="135"/>
      <c r="V121" s="135"/>
      <c r="W121" s="135"/>
      <c r="X121" s="135"/>
      <c r="Y121" s="135"/>
      <c r="Z121" s="2">
        <v>1</v>
      </c>
      <c r="AA121" s="3">
        <v>5</v>
      </c>
      <c r="AB121" s="4">
        <v>5</v>
      </c>
      <c r="AC121" s="3">
        <v>1</v>
      </c>
      <c r="AD121" s="9">
        <v>4</v>
      </c>
      <c r="AE121" s="135"/>
      <c r="AF121" s="135"/>
      <c r="AG121" s="136"/>
    </row>
    <row r="122" spans="1:33" s="29" customFormat="1" ht="16.5" customHeight="1" x14ac:dyDescent="0.3">
      <c r="A122" s="220"/>
      <c r="B122" s="41" t="s">
        <v>51</v>
      </c>
      <c r="C122" s="31">
        <v>2</v>
      </c>
      <c r="D122" s="32">
        <v>18</v>
      </c>
      <c r="E122" s="33">
        <v>9</v>
      </c>
      <c r="F122" s="32">
        <v>2</v>
      </c>
      <c r="G122" s="32">
        <v>3</v>
      </c>
      <c r="H122" s="144"/>
      <c r="I122" s="146"/>
      <c r="J122" s="147"/>
      <c r="K122" s="146"/>
      <c r="L122" s="33">
        <v>97.949999999999989</v>
      </c>
      <c r="M122" s="34">
        <v>0.11800000000326406</v>
      </c>
      <c r="N122" s="145"/>
      <c r="O122" s="33">
        <v>2.0249999999999999</v>
      </c>
      <c r="P122" s="37">
        <v>5.5000000000000507E-2</v>
      </c>
      <c r="Q122" s="148"/>
      <c r="R122" s="31">
        <v>2</v>
      </c>
      <c r="S122" s="32">
        <v>25</v>
      </c>
      <c r="T122" s="33">
        <v>12.5</v>
      </c>
      <c r="U122" s="32">
        <v>1</v>
      </c>
      <c r="V122" s="32">
        <v>1</v>
      </c>
      <c r="W122" s="144"/>
      <c r="X122" s="146"/>
      <c r="Y122" s="147"/>
      <c r="Z122" s="137"/>
      <c r="AA122" s="138"/>
      <c r="AB122" s="139"/>
      <c r="AC122" s="138"/>
      <c r="AD122" s="138"/>
      <c r="AE122" s="138"/>
      <c r="AF122" s="138"/>
      <c r="AG122" s="140"/>
    </row>
    <row r="123" spans="1:33" x14ac:dyDescent="0.3">
      <c r="A123" s="220"/>
      <c r="B123" s="46" t="s">
        <v>12</v>
      </c>
      <c r="C123" s="134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6"/>
      <c r="R123" s="134"/>
      <c r="S123" s="135"/>
      <c r="T123" s="135"/>
      <c r="U123" s="135"/>
      <c r="V123" s="135"/>
      <c r="W123" s="135"/>
      <c r="X123" s="135"/>
      <c r="Y123" s="135"/>
      <c r="Z123" s="8">
        <v>1</v>
      </c>
      <c r="AA123" s="9">
        <v>15</v>
      </c>
      <c r="AB123" s="10">
        <v>15</v>
      </c>
      <c r="AC123" s="9">
        <v>1</v>
      </c>
      <c r="AD123" s="9">
        <v>0</v>
      </c>
      <c r="AE123" s="157"/>
      <c r="AF123" s="157"/>
      <c r="AG123" s="158"/>
    </row>
    <row r="124" spans="1:33" x14ac:dyDescent="0.3">
      <c r="A124" s="220"/>
      <c r="B124" s="42" t="s">
        <v>13</v>
      </c>
      <c r="C124" s="134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6"/>
      <c r="R124" s="134"/>
      <c r="S124" s="135"/>
      <c r="T124" s="135"/>
      <c r="U124" s="135"/>
      <c r="V124" s="135"/>
      <c r="W124" s="135"/>
      <c r="X124" s="135"/>
      <c r="Y124" s="135"/>
      <c r="Z124" s="134"/>
      <c r="AA124" s="135"/>
      <c r="AB124" s="141"/>
      <c r="AC124" s="135"/>
      <c r="AD124" s="135"/>
      <c r="AE124" s="135"/>
      <c r="AF124" s="135"/>
      <c r="AG124" s="136"/>
    </row>
    <row r="125" spans="1:33" x14ac:dyDescent="0.3">
      <c r="A125" s="220"/>
      <c r="B125" s="42" t="s">
        <v>45</v>
      </c>
      <c r="C125" s="134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6"/>
      <c r="R125" s="134"/>
      <c r="S125" s="135"/>
      <c r="T125" s="135"/>
      <c r="U125" s="135"/>
      <c r="V125" s="135"/>
      <c r="W125" s="135"/>
      <c r="X125" s="135"/>
      <c r="Y125" s="135"/>
      <c r="Z125" s="2">
        <v>1</v>
      </c>
      <c r="AA125" s="3">
        <v>10</v>
      </c>
      <c r="AB125" s="4">
        <v>10</v>
      </c>
      <c r="AC125" s="3">
        <v>1</v>
      </c>
      <c r="AD125" s="9">
        <v>2</v>
      </c>
      <c r="AE125" s="135"/>
      <c r="AF125" s="135"/>
      <c r="AG125" s="136"/>
    </row>
    <row r="126" spans="1:33" s="29" customFormat="1" ht="16.5" customHeight="1" x14ac:dyDescent="0.3">
      <c r="A126" s="220"/>
      <c r="B126" s="41" t="s">
        <v>52</v>
      </c>
      <c r="C126" s="31">
        <v>1</v>
      </c>
      <c r="D126" s="32">
        <v>6</v>
      </c>
      <c r="E126" s="33">
        <v>6</v>
      </c>
      <c r="F126" s="32">
        <v>0</v>
      </c>
      <c r="G126" s="32">
        <v>2</v>
      </c>
      <c r="H126" s="144"/>
      <c r="I126" s="146"/>
      <c r="J126" s="147"/>
      <c r="K126" s="146"/>
      <c r="L126" s="40" t="s">
        <v>42</v>
      </c>
      <c r="M126" s="40" t="s">
        <v>42</v>
      </c>
      <c r="N126" s="145"/>
      <c r="O126" s="40" t="s">
        <v>42</v>
      </c>
      <c r="P126" s="40" t="s">
        <v>42</v>
      </c>
      <c r="Q126" s="148"/>
      <c r="R126" s="31">
        <v>1</v>
      </c>
      <c r="S126" s="32">
        <v>8</v>
      </c>
      <c r="T126" s="33">
        <v>8</v>
      </c>
      <c r="U126" s="32">
        <v>1</v>
      </c>
      <c r="V126" s="32">
        <v>0</v>
      </c>
      <c r="W126" s="144"/>
      <c r="X126" s="146"/>
      <c r="Y126" s="147"/>
      <c r="Z126" s="2">
        <v>1</v>
      </c>
      <c r="AA126" s="3">
        <v>8</v>
      </c>
      <c r="AB126" s="4">
        <v>8</v>
      </c>
      <c r="AC126" s="3">
        <v>1</v>
      </c>
      <c r="AD126" s="9">
        <v>1</v>
      </c>
      <c r="AE126" s="135"/>
      <c r="AF126" s="135"/>
      <c r="AG126" s="136"/>
    </row>
    <row r="127" spans="1:33" s="29" customFormat="1" ht="16.5" customHeight="1" x14ac:dyDescent="0.3">
      <c r="A127" s="220"/>
      <c r="B127" s="41" t="s">
        <v>53</v>
      </c>
      <c r="C127" s="31">
        <v>2</v>
      </c>
      <c r="D127" s="32">
        <v>7</v>
      </c>
      <c r="E127" s="33">
        <v>3.5</v>
      </c>
      <c r="F127" s="32">
        <v>2</v>
      </c>
      <c r="G127" s="32">
        <v>5</v>
      </c>
      <c r="H127" s="144"/>
      <c r="I127" s="146"/>
      <c r="J127" s="147"/>
      <c r="K127" s="146"/>
      <c r="L127" s="33">
        <v>90.654499999999999</v>
      </c>
      <c r="M127" s="34">
        <v>7.5565000000000042</v>
      </c>
      <c r="N127" s="145"/>
      <c r="O127" s="33">
        <v>3.73</v>
      </c>
      <c r="P127" s="37">
        <v>1.84</v>
      </c>
      <c r="Q127" s="148"/>
      <c r="R127" s="31">
        <v>2</v>
      </c>
      <c r="S127" s="32">
        <v>7</v>
      </c>
      <c r="T127" s="33">
        <v>3.5</v>
      </c>
      <c r="U127" s="32">
        <v>2</v>
      </c>
      <c r="V127" s="32">
        <v>1</v>
      </c>
      <c r="W127" s="144"/>
      <c r="X127" s="146"/>
      <c r="Y127" s="147"/>
      <c r="Z127" s="137"/>
      <c r="AA127" s="138"/>
      <c r="AB127" s="139"/>
      <c r="AC127" s="138"/>
      <c r="AD127" s="138"/>
      <c r="AE127" s="138"/>
      <c r="AF127" s="138"/>
      <c r="AG127" s="140"/>
    </row>
    <row r="128" spans="1:33" x14ac:dyDescent="0.3">
      <c r="A128" s="220"/>
      <c r="B128" s="42" t="s">
        <v>46</v>
      </c>
      <c r="C128" s="134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6"/>
      <c r="R128" s="134"/>
      <c r="S128" s="135"/>
      <c r="T128" s="135"/>
      <c r="U128" s="135"/>
      <c r="V128" s="135"/>
      <c r="W128" s="135"/>
      <c r="X128" s="135"/>
      <c r="Y128" s="135"/>
      <c r="Z128" s="2">
        <v>1</v>
      </c>
      <c r="AA128" s="3">
        <v>5</v>
      </c>
      <c r="AB128" s="4">
        <v>5</v>
      </c>
      <c r="AC128" s="3">
        <v>1</v>
      </c>
      <c r="AD128" s="9">
        <v>0</v>
      </c>
      <c r="AE128" s="135"/>
      <c r="AF128" s="135"/>
      <c r="AG128" s="136"/>
    </row>
    <row r="129" spans="1:33" x14ac:dyDescent="0.3">
      <c r="A129" s="220"/>
      <c r="B129" s="42" t="s">
        <v>21</v>
      </c>
      <c r="C129" s="134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6"/>
      <c r="R129" s="134"/>
      <c r="S129" s="135"/>
      <c r="T129" s="135"/>
      <c r="U129" s="135"/>
      <c r="V129" s="135"/>
      <c r="W129" s="135"/>
      <c r="X129" s="135"/>
      <c r="Y129" s="135"/>
      <c r="Z129" s="2">
        <v>1</v>
      </c>
      <c r="AA129" s="3">
        <v>2</v>
      </c>
      <c r="AB129" s="4">
        <v>2</v>
      </c>
      <c r="AC129" s="3">
        <v>1</v>
      </c>
      <c r="AD129" s="9">
        <v>0</v>
      </c>
      <c r="AE129" s="135"/>
      <c r="AF129" s="135"/>
      <c r="AG129" s="136"/>
    </row>
    <row r="130" spans="1:33" s="29" customFormat="1" ht="16.5" customHeight="1" x14ac:dyDescent="0.3">
      <c r="A130" s="220"/>
      <c r="B130" s="41" t="s">
        <v>54</v>
      </c>
      <c r="C130" s="31">
        <v>1</v>
      </c>
      <c r="D130" s="32">
        <v>3</v>
      </c>
      <c r="E130" s="33">
        <v>3</v>
      </c>
      <c r="F130" s="32">
        <v>1</v>
      </c>
      <c r="G130" s="32">
        <v>1</v>
      </c>
      <c r="H130" s="144"/>
      <c r="I130" s="146"/>
      <c r="J130" s="147"/>
      <c r="K130" s="146"/>
      <c r="L130" s="33">
        <v>96.025999999999996</v>
      </c>
      <c r="M130" s="34">
        <v>0</v>
      </c>
      <c r="N130" s="145"/>
      <c r="O130" s="33">
        <v>2.99</v>
      </c>
      <c r="P130" s="37">
        <v>0</v>
      </c>
      <c r="Q130" s="148"/>
      <c r="R130" s="31">
        <v>1</v>
      </c>
      <c r="S130" s="32">
        <v>5</v>
      </c>
      <c r="T130" s="33">
        <v>5</v>
      </c>
      <c r="U130" s="32">
        <v>1</v>
      </c>
      <c r="V130" s="32">
        <v>0</v>
      </c>
      <c r="W130" s="144"/>
      <c r="X130" s="146"/>
      <c r="Y130" s="147"/>
      <c r="Z130" s="137"/>
      <c r="AA130" s="138"/>
      <c r="AB130" s="139"/>
      <c r="AC130" s="138"/>
      <c r="AD130" s="138"/>
      <c r="AE130" s="138"/>
      <c r="AF130" s="138"/>
      <c r="AG130" s="140"/>
    </row>
    <row r="131" spans="1:33" x14ac:dyDescent="0.3">
      <c r="A131" s="220"/>
      <c r="B131" s="42" t="s">
        <v>34</v>
      </c>
      <c r="C131" s="134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6"/>
      <c r="R131" s="134"/>
      <c r="S131" s="135"/>
      <c r="T131" s="135"/>
      <c r="U131" s="135"/>
      <c r="V131" s="135"/>
      <c r="W131" s="135"/>
      <c r="X131" s="135"/>
      <c r="Y131" s="135"/>
      <c r="Z131" s="134"/>
      <c r="AA131" s="135"/>
      <c r="AB131" s="141"/>
      <c r="AC131" s="135"/>
      <c r="AD131" s="135"/>
      <c r="AE131" s="135"/>
      <c r="AF131" s="135"/>
      <c r="AG131" s="136"/>
    </row>
    <row r="132" spans="1:33" x14ac:dyDescent="0.3">
      <c r="A132" s="220"/>
      <c r="B132" s="42" t="s">
        <v>15</v>
      </c>
      <c r="C132" s="134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6"/>
      <c r="R132" s="134"/>
      <c r="S132" s="135"/>
      <c r="T132" s="135"/>
      <c r="U132" s="135"/>
      <c r="V132" s="135"/>
      <c r="W132" s="135"/>
      <c r="X132" s="135"/>
      <c r="Y132" s="135"/>
      <c r="Z132" s="2">
        <v>1</v>
      </c>
      <c r="AA132" s="3">
        <v>11</v>
      </c>
      <c r="AB132" s="4">
        <v>11</v>
      </c>
      <c r="AC132" s="3">
        <v>1</v>
      </c>
      <c r="AD132" s="9">
        <v>0</v>
      </c>
      <c r="AE132" s="135"/>
      <c r="AF132" s="135"/>
      <c r="AG132" s="136"/>
    </row>
    <row r="133" spans="1:33" s="29" customFormat="1" ht="16.5" customHeight="1" x14ac:dyDescent="0.3">
      <c r="A133" s="220"/>
      <c r="B133" s="41" t="s">
        <v>55</v>
      </c>
      <c r="C133" s="31">
        <v>1</v>
      </c>
      <c r="D133" s="32">
        <v>18</v>
      </c>
      <c r="E133" s="33">
        <v>18</v>
      </c>
      <c r="F133" s="32">
        <v>1</v>
      </c>
      <c r="G133" s="32">
        <v>5</v>
      </c>
      <c r="H133" s="144"/>
      <c r="I133" s="146"/>
      <c r="J133" s="147"/>
      <c r="K133" s="146"/>
      <c r="L133" s="40">
        <v>97.671000000000006</v>
      </c>
      <c r="M133" s="40">
        <v>0</v>
      </c>
      <c r="N133" s="145"/>
      <c r="O133" s="40">
        <v>2.16</v>
      </c>
      <c r="P133" s="40">
        <v>0</v>
      </c>
      <c r="Q133" s="148"/>
      <c r="R133" s="31">
        <v>1</v>
      </c>
      <c r="S133" s="32">
        <v>27</v>
      </c>
      <c r="T133" s="33">
        <v>27</v>
      </c>
      <c r="U133" s="32">
        <v>0</v>
      </c>
      <c r="V133" s="32">
        <v>0</v>
      </c>
      <c r="W133" s="144"/>
      <c r="X133" s="146"/>
      <c r="Y133" s="147"/>
      <c r="Z133" s="2">
        <v>1</v>
      </c>
      <c r="AA133" s="3">
        <v>15</v>
      </c>
      <c r="AB133" s="4">
        <v>15</v>
      </c>
      <c r="AC133" s="3">
        <v>1</v>
      </c>
      <c r="AD133" s="9">
        <v>2</v>
      </c>
      <c r="AE133" s="135"/>
      <c r="AF133" s="135"/>
      <c r="AG133" s="136"/>
    </row>
    <row r="134" spans="1:33" s="29" customFormat="1" ht="16.5" customHeight="1" x14ac:dyDescent="0.3">
      <c r="A134" s="220"/>
      <c r="B134" s="41" t="s">
        <v>56</v>
      </c>
      <c r="C134" s="31">
        <v>3</v>
      </c>
      <c r="D134" s="32">
        <v>23</v>
      </c>
      <c r="E134" s="33">
        <v>7.666666666666667</v>
      </c>
      <c r="F134" s="32">
        <v>2</v>
      </c>
      <c r="G134" s="32">
        <v>3</v>
      </c>
      <c r="H134" s="144"/>
      <c r="I134" s="146"/>
      <c r="J134" s="147"/>
      <c r="K134" s="146"/>
      <c r="L134" s="33">
        <v>98.094999999999999</v>
      </c>
      <c r="M134" s="34">
        <v>0.41399999999967563</v>
      </c>
      <c r="N134" s="145"/>
      <c r="O134" s="33">
        <v>1.9550000000000001</v>
      </c>
      <c r="P134" s="37">
        <v>0.2049999999999994</v>
      </c>
      <c r="Q134" s="148"/>
      <c r="R134" s="31">
        <v>2</v>
      </c>
      <c r="S134" s="32">
        <v>16</v>
      </c>
      <c r="T134" s="33">
        <v>8</v>
      </c>
      <c r="U134" s="32">
        <v>2</v>
      </c>
      <c r="V134" s="32">
        <v>4</v>
      </c>
      <c r="W134" s="144"/>
      <c r="X134" s="146"/>
      <c r="Y134" s="147"/>
      <c r="Z134" s="137"/>
      <c r="AA134" s="138"/>
      <c r="AB134" s="139"/>
      <c r="AC134" s="138"/>
      <c r="AD134" s="138"/>
      <c r="AE134" s="138"/>
      <c r="AF134" s="138"/>
      <c r="AG134" s="140"/>
    </row>
    <row r="135" spans="1:33" x14ac:dyDescent="0.3">
      <c r="A135" s="220"/>
      <c r="B135" s="42" t="s">
        <v>17</v>
      </c>
      <c r="C135" s="134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6"/>
      <c r="R135" s="134"/>
      <c r="S135" s="135"/>
      <c r="T135" s="135"/>
      <c r="U135" s="135"/>
      <c r="V135" s="135"/>
      <c r="W135" s="135"/>
      <c r="X135" s="135"/>
      <c r="Y135" s="135"/>
      <c r="Z135" s="2">
        <v>1</v>
      </c>
      <c r="AA135" s="3">
        <v>7</v>
      </c>
      <c r="AB135" s="4">
        <v>7</v>
      </c>
      <c r="AC135" s="3">
        <v>1</v>
      </c>
      <c r="AD135" s="9">
        <v>0</v>
      </c>
      <c r="AE135" s="135"/>
      <c r="AF135" s="135"/>
      <c r="AG135" s="136"/>
    </row>
    <row r="136" spans="1:33" x14ac:dyDescent="0.3">
      <c r="A136" s="220"/>
      <c r="B136" s="42" t="s">
        <v>18</v>
      </c>
      <c r="C136" s="134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6"/>
      <c r="R136" s="134"/>
      <c r="S136" s="135"/>
      <c r="T136" s="135"/>
      <c r="U136" s="135"/>
      <c r="V136" s="135"/>
      <c r="W136" s="135"/>
      <c r="X136" s="135"/>
      <c r="Y136" s="135"/>
      <c r="Z136" s="2">
        <v>1</v>
      </c>
      <c r="AA136" s="3">
        <v>8</v>
      </c>
      <c r="AB136" s="4">
        <v>8</v>
      </c>
      <c r="AC136" s="3">
        <v>1</v>
      </c>
      <c r="AD136" s="9">
        <v>2</v>
      </c>
      <c r="AE136" s="135"/>
      <c r="AF136" s="135"/>
      <c r="AG136" s="136"/>
    </row>
    <row r="137" spans="1:33" s="29" customFormat="1" ht="16.5" customHeight="1" x14ac:dyDescent="0.3">
      <c r="A137" s="220"/>
      <c r="B137" s="41" t="s">
        <v>57</v>
      </c>
      <c r="C137" s="143"/>
      <c r="D137" s="144"/>
      <c r="E137" s="145"/>
      <c r="F137" s="144"/>
      <c r="G137" s="144"/>
      <c r="H137" s="144"/>
      <c r="I137" s="146"/>
      <c r="J137" s="147"/>
      <c r="K137" s="146"/>
      <c r="L137" s="145"/>
      <c r="M137" s="146"/>
      <c r="N137" s="145"/>
      <c r="O137" s="145"/>
      <c r="P137" s="149"/>
      <c r="Q137" s="148"/>
      <c r="R137" s="31">
        <v>1</v>
      </c>
      <c r="S137" s="32">
        <v>4</v>
      </c>
      <c r="T137" s="33">
        <v>4</v>
      </c>
      <c r="U137" s="32">
        <v>1</v>
      </c>
      <c r="V137" s="32">
        <v>1</v>
      </c>
      <c r="W137" s="144"/>
      <c r="X137" s="146"/>
      <c r="Y137" s="147"/>
      <c r="Z137" s="2">
        <v>1</v>
      </c>
      <c r="AA137" s="3">
        <v>3</v>
      </c>
      <c r="AB137" s="4">
        <v>3</v>
      </c>
      <c r="AC137" s="3">
        <v>1</v>
      </c>
      <c r="AD137" s="9">
        <v>2</v>
      </c>
      <c r="AE137" s="135"/>
      <c r="AF137" s="135"/>
      <c r="AG137" s="136"/>
    </row>
    <row r="138" spans="1:33" s="29" customFormat="1" ht="16.5" customHeight="1" x14ac:dyDescent="0.3">
      <c r="A138" s="220"/>
      <c r="B138" s="41" t="s">
        <v>58</v>
      </c>
      <c r="C138" s="31">
        <v>2</v>
      </c>
      <c r="D138" s="32">
        <v>6</v>
      </c>
      <c r="E138" s="33">
        <v>3</v>
      </c>
      <c r="F138" s="32">
        <v>2</v>
      </c>
      <c r="G138" s="32">
        <v>4</v>
      </c>
      <c r="H138" s="144"/>
      <c r="I138" s="146"/>
      <c r="J138" s="147"/>
      <c r="K138" s="146"/>
      <c r="L138" s="33">
        <v>95.616500000000002</v>
      </c>
      <c r="M138" s="34">
        <v>0.38349999999978795</v>
      </c>
      <c r="N138" s="145"/>
      <c r="O138" s="33">
        <v>2.9299999999999997</v>
      </c>
      <c r="P138" s="37">
        <v>7.0000000000019935E-2</v>
      </c>
      <c r="Q138" s="148"/>
      <c r="R138" s="31">
        <v>2</v>
      </c>
      <c r="S138" s="32">
        <v>11</v>
      </c>
      <c r="T138" s="33">
        <v>5.5</v>
      </c>
      <c r="U138" s="32">
        <v>1</v>
      </c>
      <c r="V138" s="32">
        <v>2</v>
      </c>
      <c r="W138" s="144"/>
      <c r="X138" s="146"/>
      <c r="Y138" s="147"/>
      <c r="Z138" s="137"/>
      <c r="AA138" s="138"/>
      <c r="AB138" s="139"/>
      <c r="AC138" s="138"/>
      <c r="AD138" s="138"/>
      <c r="AE138" s="138"/>
      <c r="AF138" s="138"/>
      <c r="AG138" s="140"/>
    </row>
    <row r="139" spans="1:33" x14ac:dyDescent="0.3">
      <c r="A139" s="220"/>
      <c r="B139" s="42" t="s">
        <v>36</v>
      </c>
      <c r="C139" s="134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6"/>
      <c r="R139" s="134"/>
      <c r="S139" s="135"/>
      <c r="T139" s="135"/>
      <c r="U139" s="135"/>
      <c r="V139" s="135"/>
      <c r="W139" s="135"/>
      <c r="X139" s="135"/>
      <c r="Y139" s="135"/>
      <c r="Z139" s="23">
        <v>1</v>
      </c>
      <c r="AA139" s="11">
        <v>4</v>
      </c>
      <c r="AB139" s="12">
        <v>4</v>
      </c>
      <c r="AC139" s="11">
        <v>1</v>
      </c>
      <c r="AD139" s="9">
        <v>2</v>
      </c>
      <c r="AE139" s="135"/>
      <c r="AF139" s="135"/>
      <c r="AG139" s="136"/>
    </row>
    <row r="140" spans="1:33" x14ac:dyDescent="0.3">
      <c r="A140" s="220"/>
      <c r="B140" s="42" t="s">
        <v>38</v>
      </c>
      <c r="C140" s="134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6"/>
      <c r="R140" s="134"/>
      <c r="S140" s="135"/>
      <c r="T140" s="135"/>
      <c r="U140" s="135"/>
      <c r="V140" s="135"/>
      <c r="W140" s="135"/>
      <c r="X140" s="135"/>
      <c r="Y140" s="135"/>
      <c r="Z140" s="134"/>
      <c r="AA140" s="135"/>
      <c r="AB140" s="141"/>
      <c r="AC140" s="135"/>
      <c r="AD140" s="135"/>
      <c r="AE140" s="135"/>
      <c r="AF140" s="135"/>
      <c r="AG140" s="136"/>
    </row>
    <row r="141" spans="1:33" x14ac:dyDescent="0.3">
      <c r="A141" s="220"/>
      <c r="B141" s="42" t="s">
        <v>20</v>
      </c>
      <c r="C141" s="134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6"/>
      <c r="R141" s="134"/>
      <c r="S141" s="135"/>
      <c r="T141" s="135"/>
      <c r="U141" s="135"/>
      <c r="V141" s="135"/>
      <c r="W141" s="135"/>
      <c r="X141" s="135"/>
      <c r="Y141" s="135"/>
      <c r="Z141" s="2">
        <v>1</v>
      </c>
      <c r="AA141" s="3">
        <v>2</v>
      </c>
      <c r="AB141" s="4">
        <v>2</v>
      </c>
      <c r="AC141" s="3">
        <v>0</v>
      </c>
      <c r="AD141" s="9">
        <v>1</v>
      </c>
      <c r="AE141" s="135"/>
      <c r="AF141" s="135"/>
      <c r="AG141" s="136"/>
    </row>
    <row r="142" spans="1:33" s="29" customFormat="1" ht="16.5" customHeight="1" x14ac:dyDescent="0.3">
      <c r="A142" s="220"/>
      <c r="B142" s="41" t="s">
        <v>59</v>
      </c>
      <c r="C142" s="31">
        <v>1</v>
      </c>
      <c r="D142" s="32">
        <v>2</v>
      </c>
      <c r="E142" s="33">
        <v>2</v>
      </c>
      <c r="F142" s="32">
        <v>1</v>
      </c>
      <c r="G142" s="32">
        <v>1</v>
      </c>
      <c r="H142" s="144"/>
      <c r="I142" s="146"/>
      <c r="J142" s="147"/>
      <c r="K142" s="146"/>
      <c r="L142" s="33">
        <v>92.283000000000001</v>
      </c>
      <c r="M142" s="34">
        <v>0</v>
      </c>
      <c r="N142" s="145"/>
      <c r="O142" s="33">
        <v>4.8600000000000003</v>
      </c>
      <c r="P142" s="37">
        <v>0</v>
      </c>
      <c r="Q142" s="148"/>
      <c r="R142" s="31">
        <v>1</v>
      </c>
      <c r="S142" s="32">
        <v>7</v>
      </c>
      <c r="T142" s="33">
        <v>7</v>
      </c>
      <c r="U142" s="32">
        <v>1</v>
      </c>
      <c r="V142" s="32">
        <v>1</v>
      </c>
      <c r="W142" s="144"/>
      <c r="X142" s="146"/>
      <c r="Y142" s="147"/>
      <c r="Z142" s="2">
        <v>1</v>
      </c>
      <c r="AA142" s="3">
        <v>3</v>
      </c>
      <c r="AB142" s="4">
        <v>3</v>
      </c>
      <c r="AC142" s="3">
        <v>1</v>
      </c>
      <c r="AD142" s="9">
        <v>1</v>
      </c>
      <c r="AE142" s="135"/>
      <c r="AF142" s="135"/>
      <c r="AG142" s="136"/>
    </row>
    <row r="143" spans="1:33" s="29" customFormat="1" ht="16.5" customHeight="1" x14ac:dyDescent="0.3">
      <c r="A143" s="220"/>
      <c r="B143" s="41" t="s">
        <v>60</v>
      </c>
      <c r="C143" s="31">
        <v>1</v>
      </c>
      <c r="D143" s="32">
        <v>4</v>
      </c>
      <c r="E143" s="33">
        <v>4</v>
      </c>
      <c r="F143" s="32">
        <v>1</v>
      </c>
      <c r="G143" s="38">
        <v>0</v>
      </c>
      <c r="H143" s="144"/>
      <c r="I143" s="146"/>
      <c r="J143" s="147"/>
      <c r="K143" s="146"/>
      <c r="L143" s="33">
        <v>96.813000000000002</v>
      </c>
      <c r="M143" s="34">
        <v>0</v>
      </c>
      <c r="N143" s="145"/>
      <c r="O143" s="33">
        <v>2.59</v>
      </c>
      <c r="P143" s="37">
        <v>0</v>
      </c>
      <c r="Q143" s="148"/>
      <c r="R143" s="31">
        <v>1</v>
      </c>
      <c r="S143" s="32">
        <v>5</v>
      </c>
      <c r="T143" s="33">
        <v>5</v>
      </c>
      <c r="U143" s="32">
        <v>1</v>
      </c>
      <c r="V143" s="32">
        <v>4</v>
      </c>
      <c r="W143" s="144"/>
      <c r="X143" s="146"/>
      <c r="Y143" s="147"/>
      <c r="Z143" s="2">
        <v>1</v>
      </c>
      <c r="AA143" s="3">
        <v>1</v>
      </c>
      <c r="AB143" s="4">
        <v>1</v>
      </c>
      <c r="AC143" s="3">
        <v>1</v>
      </c>
      <c r="AD143" s="18" t="s">
        <v>47</v>
      </c>
      <c r="AE143" s="135"/>
      <c r="AF143" s="135"/>
      <c r="AG143" s="136"/>
    </row>
    <row r="144" spans="1:33" s="29" customFormat="1" ht="16.5" customHeight="1" x14ac:dyDescent="0.3">
      <c r="A144" s="220"/>
      <c r="B144" s="41" t="s">
        <v>61</v>
      </c>
      <c r="C144" s="31">
        <v>1</v>
      </c>
      <c r="D144" s="32">
        <v>5</v>
      </c>
      <c r="E144" s="33">
        <v>5</v>
      </c>
      <c r="F144" s="32">
        <v>0</v>
      </c>
      <c r="G144" s="32">
        <v>3</v>
      </c>
      <c r="H144" s="144"/>
      <c r="I144" s="146"/>
      <c r="J144" s="147"/>
      <c r="K144" s="146"/>
      <c r="L144" s="40" t="s">
        <v>42</v>
      </c>
      <c r="M144" s="40" t="s">
        <v>42</v>
      </c>
      <c r="N144" s="145"/>
      <c r="O144" s="40" t="s">
        <v>42</v>
      </c>
      <c r="P144" s="40" t="s">
        <v>42</v>
      </c>
      <c r="Q144" s="148"/>
      <c r="R144" s="31">
        <v>1</v>
      </c>
      <c r="S144" s="32">
        <v>4</v>
      </c>
      <c r="T144" s="33">
        <v>4</v>
      </c>
      <c r="U144" s="32">
        <v>1</v>
      </c>
      <c r="V144" s="32">
        <v>1</v>
      </c>
      <c r="W144" s="144"/>
      <c r="X144" s="146"/>
      <c r="Y144" s="147"/>
      <c r="Z144" s="2">
        <v>1</v>
      </c>
      <c r="AA144" s="3">
        <v>8</v>
      </c>
      <c r="AB144" s="4">
        <v>8</v>
      </c>
      <c r="AC144" s="3">
        <v>1</v>
      </c>
      <c r="AD144" s="9">
        <v>0</v>
      </c>
      <c r="AE144" s="135"/>
      <c r="AF144" s="135"/>
      <c r="AG144" s="136"/>
    </row>
    <row r="145" spans="1:33" s="29" customFormat="1" ht="16.5" customHeight="1" thickBot="1" x14ac:dyDescent="0.35">
      <c r="A145" s="221"/>
      <c r="B145" s="56" t="s">
        <v>63</v>
      </c>
      <c r="C145" s="69">
        <v>18</v>
      </c>
      <c r="D145" s="57">
        <v>127</v>
      </c>
      <c r="E145" s="58">
        <v>7.0555555555555554</v>
      </c>
      <c r="F145" s="57">
        <v>15</v>
      </c>
      <c r="G145" s="57">
        <v>38</v>
      </c>
      <c r="H145" s="159"/>
      <c r="I145" s="160"/>
      <c r="J145" s="161"/>
      <c r="K145" s="160"/>
      <c r="L145" s="58">
        <v>95.940333333333328</v>
      </c>
      <c r="M145" s="59">
        <v>3.7500970772619264</v>
      </c>
      <c r="N145" s="150"/>
      <c r="O145" s="58">
        <v>2.7353333333333336</v>
      </c>
      <c r="P145" s="60">
        <v>1.0515757488433983</v>
      </c>
      <c r="Q145" s="151"/>
      <c r="R145" s="69">
        <v>18</v>
      </c>
      <c r="S145" s="57">
        <v>139</v>
      </c>
      <c r="T145" s="58">
        <v>7.7222222222222223</v>
      </c>
      <c r="U145" s="57">
        <v>15</v>
      </c>
      <c r="V145" s="57">
        <v>23</v>
      </c>
      <c r="W145" s="159"/>
      <c r="X145" s="160"/>
      <c r="Y145" s="161"/>
      <c r="Z145" s="16">
        <v>18</v>
      </c>
      <c r="AA145" s="14">
        <v>131</v>
      </c>
      <c r="AB145" s="13">
        <v>7.2777777777777777</v>
      </c>
      <c r="AC145" s="14">
        <v>17</v>
      </c>
      <c r="AD145" s="14">
        <v>23</v>
      </c>
      <c r="AE145" s="162"/>
      <c r="AF145" s="162"/>
      <c r="AG145" s="163"/>
    </row>
  </sheetData>
  <mergeCells count="19">
    <mergeCell ref="A1:AG1"/>
    <mergeCell ref="A4:A6"/>
    <mergeCell ref="B4:B6"/>
    <mergeCell ref="Z4:AG4"/>
    <mergeCell ref="Z5:AD5"/>
    <mergeCell ref="AE5:AG5"/>
    <mergeCell ref="R4:Y4"/>
    <mergeCell ref="C4:Q4"/>
    <mergeCell ref="C5:G5"/>
    <mergeCell ref="H5:K5"/>
    <mergeCell ref="L5:N5"/>
    <mergeCell ref="O5:Q5"/>
    <mergeCell ref="R5:V5"/>
    <mergeCell ref="W5:Y5"/>
    <mergeCell ref="A61:A88"/>
    <mergeCell ref="A89:A117"/>
    <mergeCell ref="A118:A145"/>
    <mergeCell ref="A7:A35"/>
    <mergeCell ref="A36:A60"/>
  </mergeCells>
  <phoneticPr fontId="2" type="noConversion"/>
  <printOptions horizontalCentered="1"/>
  <pageMargins left="0.15748031496062992" right="0.15748031496062992" top="0.74803149606299213" bottom="0.56999999999999995" header="0.31496062992125984" footer="0.16"/>
  <pageSetup paperSize="8" scale="71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7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6" sqref="A6"/>
      <selection pane="bottomRight" sqref="A1:Z1"/>
    </sheetView>
  </sheetViews>
  <sheetFormatPr defaultRowHeight="16.5" x14ac:dyDescent="0.3"/>
  <cols>
    <col min="1" max="1" width="14" customWidth="1"/>
    <col min="2" max="2" width="27.5" customWidth="1"/>
    <col min="3" max="18" width="6.375" customWidth="1"/>
    <col min="19" max="26" width="6.25" customWidth="1"/>
  </cols>
  <sheetData>
    <row r="1" spans="1:41" ht="31.5" x14ac:dyDescent="0.3">
      <c r="A1" s="223" t="s">
        <v>31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3">
      <c r="A2" s="95"/>
    </row>
    <row r="3" spans="1:41" ht="17.25" thickBot="1" x14ac:dyDescent="0.35">
      <c r="A3" s="95" t="s">
        <v>88</v>
      </c>
    </row>
    <row r="4" spans="1:41" x14ac:dyDescent="0.3">
      <c r="A4" s="245" t="s">
        <v>11</v>
      </c>
      <c r="B4" s="247" t="s">
        <v>0</v>
      </c>
      <c r="C4" s="249" t="s">
        <v>80</v>
      </c>
      <c r="D4" s="250"/>
      <c r="E4" s="250"/>
      <c r="F4" s="250"/>
      <c r="G4" s="250"/>
      <c r="H4" s="250"/>
      <c r="I4" s="250"/>
      <c r="J4" s="251"/>
      <c r="K4" s="250" t="s">
        <v>49</v>
      </c>
      <c r="L4" s="250"/>
      <c r="M4" s="250"/>
      <c r="N4" s="250"/>
      <c r="O4" s="250"/>
      <c r="P4" s="250"/>
      <c r="Q4" s="250"/>
      <c r="R4" s="251"/>
      <c r="S4" s="249" t="s">
        <v>44</v>
      </c>
      <c r="T4" s="250"/>
      <c r="U4" s="250"/>
      <c r="V4" s="250"/>
      <c r="W4" s="250"/>
      <c r="X4" s="250"/>
      <c r="Y4" s="250"/>
      <c r="Z4" s="251"/>
    </row>
    <row r="5" spans="1:41" ht="30" customHeight="1" x14ac:dyDescent="0.3">
      <c r="A5" s="246"/>
      <c r="B5" s="248"/>
      <c r="C5" s="231" t="s">
        <v>1</v>
      </c>
      <c r="D5" s="232"/>
      <c r="E5" s="232"/>
      <c r="F5" s="232"/>
      <c r="G5" s="232"/>
      <c r="H5" s="237" t="s">
        <v>3</v>
      </c>
      <c r="I5" s="237"/>
      <c r="J5" s="239"/>
      <c r="K5" s="236" t="s">
        <v>1</v>
      </c>
      <c r="L5" s="232"/>
      <c r="M5" s="232"/>
      <c r="N5" s="232"/>
      <c r="O5" s="232"/>
      <c r="P5" s="237" t="s">
        <v>3</v>
      </c>
      <c r="Q5" s="237"/>
      <c r="R5" s="244"/>
      <c r="S5" s="231" t="s">
        <v>1</v>
      </c>
      <c r="T5" s="232"/>
      <c r="U5" s="232"/>
      <c r="V5" s="232"/>
      <c r="W5" s="232"/>
      <c r="X5" s="237" t="s">
        <v>3</v>
      </c>
      <c r="Y5" s="237"/>
      <c r="Z5" s="239"/>
    </row>
    <row r="6" spans="1:41" ht="36" x14ac:dyDescent="0.3">
      <c r="A6" s="246"/>
      <c r="B6" s="248"/>
      <c r="C6" s="128" t="s">
        <v>4</v>
      </c>
      <c r="D6" s="129" t="s">
        <v>5</v>
      </c>
      <c r="E6" s="130" t="s">
        <v>6</v>
      </c>
      <c r="F6" s="129" t="s">
        <v>32</v>
      </c>
      <c r="G6" s="129" t="s">
        <v>7</v>
      </c>
      <c r="H6" s="130" t="s">
        <v>9</v>
      </c>
      <c r="I6" s="129" t="s">
        <v>28</v>
      </c>
      <c r="J6" s="132">
        <v>0.85</v>
      </c>
      <c r="K6" s="164" t="s">
        <v>4</v>
      </c>
      <c r="L6" s="129" t="s">
        <v>5</v>
      </c>
      <c r="M6" s="130" t="s">
        <v>6</v>
      </c>
      <c r="N6" s="129" t="s">
        <v>32</v>
      </c>
      <c r="O6" s="129" t="s">
        <v>7</v>
      </c>
      <c r="P6" s="130" t="s">
        <v>9</v>
      </c>
      <c r="Q6" s="129" t="s">
        <v>28</v>
      </c>
      <c r="R6" s="165">
        <v>0.85</v>
      </c>
      <c r="S6" s="128" t="s">
        <v>4</v>
      </c>
      <c r="T6" s="129" t="s">
        <v>5</v>
      </c>
      <c r="U6" s="130" t="s">
        <v>6</v>
      </c>
      <c r="V6" s="129" t="s">
        <v>32</v>
      </c>
      <c r="W6" s="129" t="s">
        <v>7</v>
      </c>
      <c r="X6" s="130" t="s">
        <v>9</v>
      </c>
      <c r="Y6" s="129" t="s">
        <v>28</v>
      </c>
      <c r="Z6" s="132">
        <v>0.85</v>
      </c>
    </row>
    <row r="7" spans="1:41" x14ac:dyDescent="0.3">
      <c r="A7" s="241" t="s">
        <v>23</v>
      </c>
      <c r="B7" s="41" t="s">
        <v>50</v>
      </c>
      <c r="C7" s="125">
        <v>19</v>
      </c>
      <c r="D7" s="98">
        <v>121</v>
      </c>
      <c r="E7" s="85">
        <v>6.3684210526315788</v>
      </c>
      <c r="F7" s="98">
        <v>19</v>
      </c>
      <c r="G7" s="98">
        <v>23</v>
      </c>
      <c r="H7" s="85">
        <v>5.3026315789473681</v>
      </c>
      <c r="I7" s="99">
        <v>0.5054840525909996</v>
      </c>
      <c r="J7" s="88">
        <v>5.6740000000000004</v>
      </c>
      <c r="K7" s="123">
        <v>19</v>
      </c>
      <c r="L7" s="98">
        <v>164</v>
      </c>
      <c r="M7" s="85">
        <v>8.6315789473684212</v>
      </c>
      <c r="N7" s="98">
        <v>19</v>
      </c>
      <c r="O7" s="98">
        <v>22</v>
      </c>
      <c r="P7" s="85">
        <v>4.9978947368421043</v>
      </c>
      <c r="Q7" s="99">
        <v>0.57696646757775749</v>
      </c>
      <c r="R7" s="100">
        <v>5.5910000000000002</v>
      </c>
      <c r="S7" s="137"/>
      <c r="T7" s="138"/>
      <c r="U7" s="139"/>
      <c r="V7" s="138"/>
      <c r="W7" s="138"/>
      <c r="X7" s="139"/>
      <c r="Y7" s="138"/>
      <c r="Z7" s="166"/>
      <c r="AA7" s="105"/>
    </row>
    <row r="8" spans="1:41" x14ac:dyDescent="0.3">
      <c r="A8" s="241"/>
      <c r="B8" s="42" t="s">
        <v>14</v>
      </c>
      <c r="C8" s="167"/>
      <c r="D8" s="168"/>
      <c r="E8" s="169"/>
      <c r="F8" s="168"/>
      <c r="G8" s="168"/>
      <c r="H8" s="168"/>
      <c r="I8" s="168"/>
      <c r="J8" s="170"/>
      <c r="K8" s="171"/>
      <c r="L8" s="168"/>
      <c r="M8" s="169"/>
      <c r="N8" s="168"/>
      <c r="O8" s="168"/>
      <c r="P8" s="168"/>
      <c r="Q8" s="168"/>
      <c r="R8" s="172"/>
      <c r="S8" s="23">
        <v>10</v>
      </c>
      <c r="T8" s="11">
        <v>76</v>
      </c>
      <c r="U8" s="12">
        <v>7.6</v>
      </c>
      <c r="V8" s="11">
        <v>10</v>
      </c>
      <c r="W8" s="11">
        <v>11</v>
      </c>
      <c r="X8" s="96">
        <v>5.0890000000000004</v>
      </c>
      <c r="Y8" s="96">
        <v>0.28786976221896793</v>
      </c>
      <c r="Z8" s="97">
        <v>5.3959999999999999</v>
      </c>
      <c r="AA8" s="105"/>
    </row>
    <row r="9" spans="1:41" x14ac:dyDescent="0.3">
      <c r="A9" s="241"/>
      <c r="B9" s="42" t="s">
        <v>16</v>
      </c>
      <c r="C9" s="167"/>
      <c r="D9" s="168"/>
      <c r="E9" s="169"/>
      <c r="F9" s="168"/>
      <c r="G9" s="168"/>
      <c r="H9" s="168"/>
      <c r="I9" s="168"/>
      <c r="J9" s="170"/>
      <c r="K9" s="171"/>
      <c r="L9" s="168"/>
      <c r="M9" s="169"/>
      <c r="N9" s="168"/>
      <c r="O9" s="168"/>
      <c r="P9" s="168"/>
      <c r="Q9" s="168"/>
      <c r="R9" s="172"/>
      <c r="S9" s="2">
        <v>10</v>
      </c>
      <c r="T9" s="3">
        <v>55</v>
      </c>
      <c r="U9" s="4">
        <v>5.5</v>
      </c>
      <c r="V9" s="3">
        <v>10</v>
      </c>
      <c r="W9" s="24">
        <v>15</v>
      </c>
      <c r="X9" s="25">
        <v>5.83</v>
      </c>
      <c r="Y9" s="25">
        <v>0.46497311750250564</v>
      </c>
      <c r="Z9" s="26">
        <v>6.3544999999999989</v>
      </c>
      <c r="AA9" s="105"/>
    </row>
    <row r="10" spans="1:41" x14ac:dyDescent="0.3">
      <c r="A10" s="241"/>
      <c r="B10" s="42" t="s">
        <v>19</v>
      </c>
      <c r="C10" s="167"/>
      <c r="D10" s="168"/>
      <c r="E10" s="169"/>
      <c r="F10" s="168"/>
      <c r="G10" s="168"/>
      <c r="H10" s="168"/>
      <c r="I10" s="168"/>
      <c r="J10" s="170"/>
      <c r="K10" s="171"/>
      <c r="L10" s="168"/>
      <c r="M10" s="169"/>
      <c r="N10" s="168"/>
      <c r="O10" s="168"/>
      <c r="P10" s="168"/>
      <c r="Q10" s="168"/>
      <c r="R10" s="172"/>
      <c r="S10" s="2">
        <v>6</v>
      </c>
      <c r="T10" s="3">
        <v>35</v>
      </c>
      <c r="U10" s="4">
        <v>5.833333333333333</v>
      </c>
      <c r="V10" s="3">
        <v>6</v>
      </c>
      <c r="W10" s="24">
        <v>14</v>
      </c>
      <c r="X10" s="25">
        <v>5.1583333333333332</v>
      </c>
      <c r="Y10" s="25">
        <v>0.84609724946696041</v>
      </c>
      <c r="Z10" s="26">
        <v>5.7750000000000004</v>
      </c>
      <c r="AA10" s="105"/>
    </row>
    <row r="11" spans="1:41" x14ac:dyDescent="0.3">
      <c r="A11" s="241"/>
      <c r="B11" s="41" t="s">
        <v>51</v>
      </c>
      <c r="C11" s="125">
        <v>30</v>
      </c>
      <c r="D11" s="98">
        <v>200</v>
      </c>
      <c r="E11" s="85">
        <v>6.666666666666667</v>
      </c>
      <c r="F11" s="98">
        <v>28</v>
      </c>
      <c r="G11" s="98">
        <v>25</v>
      </c>
      <c r="H11" s="85">
        <v>4.8778571428571436</v>
      </c>
      <c r="I11" s="99">
        <v>0.51386043924436864</v>
      </c>
      <c r="J11" s="88">
        <v>5.2874999999999996</v>
      </c>
      <c r="K11" s="123">
        <v>30</v>
      </c>
      <c r="L11" s="98">
        <v>185</v>
      </c>
      <c r="M11" s="85">
        <v>6.166666666666667</v>
      </c>
      <c r="N11" s="98">
        <v>29</v>
      </c>
      <c r="O11" s="98">
        <v>29</v>
      </c>
      <c r="P11" s="85">
        <v>5.4251724137931019</v>
      </c>
      <c r="Q11" s="99">
        <v>0.52039521247801956</v>
      </c>
      <c r="R11" s="100">
        <v>5.7560000000000002</v>
      </c>
      <c r="S11" s="137"/>
      <c r="T11" s="138"/>
      <c r="U11" s="139"/>
      <c r="V11" s="138"/>
      <c r="W11" s="138"/>
      <c r="X11" s="139"/>
      <c r="Y11" s="138"/>
      <c r="Z11" s="166"/>
      <c r="AA11" s="105"/>
    </row>
    <row r="12" spans="1:41" x14ac:dyDescent="0.3">
      <c r="A12" s="241"/>
      <c r="B12" s="42" t="s">
        <v>12</v>
      </c>
      <c r="C12" s="167"/>
      <c r="D12" s="168"/>
      <c r="E12" s="169"/>
      <c r="F12" s="168"/>
      <c r="G12" s="168"/>
      <c r="H12" s="168"/>
      <c r="I12" s="168"/>
      <c r="J12" s="170"/>
      <c r="K12" s="171"/>
      <c r="L12" s="168"/>
      <c r="M12" s="169"/>
      <c r="N12" s="168"/>
      <c r="O12" s="168"/>
      <c r="P12" s="168"/>
      <c r="Q12" s="168"/>
      <c r="R12" s="172"/>
      <c r="S12" s="2">
        <v>17</v>
      </c>
      <c r="T12" s="3">
        <v>79</v>
      </c>
      <c r="U12" s="4">
        <v>4.6470588235294121</v>
      </c>
      <c r="V12" s="3">
        <v>17</v>
      </c>
      <c r="W12" s="3">
        <v>37</v>
      </c>
      <c r="X12" s="25">
        <v>4.987058823529412</v>
      </c>
      <c r="Y12" s="25">
        <v>0.53599566181171054</v>
      </c>
      <c r="Z12" s="26">
        <v>5.556</v>
      </c>
      <c r="AA12" s="105"/>
    </row>
    <row r="13" spans="1:41" x14ac:dyDescent="0.3">
      <c r="A13" s="241"/>
      <c r="B13" s="42" t="s">
        <v>13</v>
      </c>
      <c r="C13" s="167"/>
      <c r="D13" s="168"/>
      <c r="E13" s="169"/>
      <c r="F13" s="168"/>
      <c r="G13" s="168"/>
      <c r="H13" s="168"/>
      <c r="I13" s="168"/>
      <c r="J13" s="170"/>
      <c r="K13" s="171"/>
      <c r="L13" s="168"/>
      <c r="M13" s="169"/>
      <c r="N13" s="168"/>
      <c r="O13" s="168"/>
      <c r="P13" s="168"/>
      <c r="Q13" s="168"/>
      <c r="R13" s="172"/>
      <c r="S13" s="134"/>
      <c r="T13" s="135"/>
      <c r="U13" s="141"/>
      <c r="V13" s="135"/>
      <c r="W13" s="173"/>
      <c r="X13" s="174"/>
      <c r="Y13" s="174"/>
      <c r="Z13" s="175"/>
      <c r="AA13" s="105"/>
    </row>
    <row r="14" spans="1:41" x14ac:dyDescent="0.3">
      <c r="A14" s="241"/>
      <c r="B14" s="42" t="s">
        <v>45</v>
      </c>
      <c r="C14" s="167"/>
      <c r="D14" s="168"/>
      <c r="E14" s="169"/>
      <c r="F14" s="168"/>
      <c r="G14" s="168"/>
      <c r="H14" s="168"/>
      <c r="I14" s="168"/>
      <c r="J14" s="170"/>
      <c r="K14" s="171"/>
      <c r="L14" s="168"/>
      <c r="M14" s="169"/>
      <c r="N14" s="168"/>
      <c r="O14" s="168"/>
      <c r="P14" s="168"/>
      <c r="Q14" s="168"/>
      <c r="R14" s="172"/>
      <c r="S14" s="2">
        <v>29</v>
      </c>
      <c r="T14" s="3">
        <v>122</v>
      </c>
      <c r="U14" s="4">
        <v>4.2068965517241379</v>
      </c>
      <c r="V14" s="3">
        <v>29</v>
      </c>
      <c r="W14" s="3">
        <v>35</v>
      </c>
      <c r="X14" s="25">
        <v>5.3851724137931019</v>
      </c>
      <c r="Y14" s="25">
        <v>0.49065488039232374</v>
      </c>
      <c r="Z14" s="26">
        <v>5.8</v>
      </c>
      <c r="AA14" s="105"/>
    </row>
    <row r="15" spans="1:41" x14ac:dyDescent="0.3">
      <c r="A15" s="241"/>
      <c r="B15" s="41" t="s">
        <v>52</v>
      </c>
      <c r="C15" s="125">
        <v>11</v>
      </c>
      <c r="D15" s="98">
        <v>85</v>
      </c>
      <c r="E15" s="85">
        <v>7.7272727272727275</v>
      </c>
      <c r="F15" s="98">
        <v>11</v>
      </c>
      <c r="G15" s="98">
        <v>7</v>
      </c>
      <c r="H15" s="85">
        <v>5.5890909090909098</v>
      </c>
      <c r="I15" s="99">
        <v>0.34378784539977014</v>
      </c>
      <c r="J15" s="88">
        <v>5.8100000000000005</v>
      </c>
      <c r="K15" s="123">
        <v>11</v>
      </c>
      <c r="L15" s="98">
        <v>67</v>
      </c>
      <c r="M15" s="85">
        <v>6.0909090909090908</v>
      </c>
      <c r="N15" s="98">
        <v>11</v>
      </c>
      <c r="O15" s="98">
        <v>11</v>
      </c>
      <c r="P15" s="85">
        <v>5.3972727272727266</v>
      </c>
      <c r="Q15" s="99">
        <v>0.64342960212642497</v>
      </c>
      <c r="R15" s="100">
        <v>6.1649999999999991</v>
      </c>
      <c r="S15" s="2">
        <v>11</v>
      </c>
      <c r="T15" s="3">
        <v>48</v>
      </c>
      <c r="U15" s="4">
        <v>4.3636363636363633</v>
      </c>
      <c r="V15" s="3">
        <v>10</v>
      </c>
      <c r="W15" s="3">
        <v>16</v>
      </c>
      <c r="X15" s="25">
        <v>5.1609999999999996</v>
      </c>
      <c r="Y15" s="25">
        <v>0.48368274726311855</v>
      </c>
      <c r="Z15" s="26">
        <v>5.5699999999999994</v>
      </c>
      <c r="AA15" s="105"/>
    </row>
    <row r="16" spans="1:41" x14ac:dyDescent="0.3">
      <c r="A16" s="241"/>
      <c r="B16" s="41" t="s">
        <v>53</v>
      </c>
      <c r="C16" s="125">
        <v>21</v>
      </c>
      <c r="D16" s="98">
        <v>65</v>
      </c>
      <c r="E16" s="85">
        <v>3.0952380952380953</v>
      </c>
      <c r="F16" s="98">
        <v>20</v>
      </c>
      <c r="G16" s="98">
        <v>19</v>
      </c>
      <c r="H16" s="85">
        <v>6.0584999999999996</v>
      </c>
      <c r="I16" s="99">
        <v>0.77446933444779342</v>
      </c>
      <c r="J16" s="88">
        <v>6.69</v>
      </c>
      <c r="K16" s="123">
        <v>13</v>
      </c>
      <c r="L16" s="98">
        <v>50</v>
      </c>
      <c r="M16" s="85">
        <v>3.8461538461538463</v>
      </c>
      <c r="N16" s="98">
        <v>13</v>
      </c>
      <c r="O16" s="98">
        <v>24</v>
      </c>
      <c r="P16" s="85">
        <v>5.7738461538461525</v>
      </c>
      <c r="Q16" s="99">
        <v>0.5282851569944087</v>
      </c>
      <c r="R16" s="100">
        <v>6.3380000000000001</v>
      </c>
      <c r="S16" s="137"/>
      <c r="T16" s="138"/>
      <c r="U16" s="139"/>
      <c r="V16" s="138"/>
      <c r="W16" s="138"/>
      <c r="X16" s="139"/>
      <c r="Y16" s="138"/>
      <c r="Z16" s="166"/>
      <c r="AA16" s="105"/>
    </row>
    <row r="17" spans="1:27" x14ac:dyDescent="0.3">
      <c r="A17" s="241"/>
      <c r="B17" s="42" t="s">
        <v>46</v>
      </c>
      <c r="C17" s="167"/>
      <c r="D17" s="168"/>
      <c r="E17" s="169"/>
      <c r="F17" s="168"/>
      <c r="G17" s="168"/>
      <c r="H17" s="168"/>
      <c r="I17" s="168"/>
      <c r="J17" s="170"/>
      <c r="K17" s="171"/>
      <c r="L17" s="168"/>
      <c r="M17" s="169"/>
      <c r="N17" s="168"/>
      <c r="O17" s="168"/>
      <c r="P17" s="168"/>
      <c r="Q17" s="168"/>
      <c r="R17" s="172"/>
      <c r="S17" s="2">
        <v>14</v>
      </c>
      <c r="T17" s="3">
        <v>42</v>
      </c>
      <c r="U17" s="4">
        <v>3</v>
      </c>
      <c r="V17" s="3">
        <v>14</v>
      </c>
      <c r="W17" s="3">
        <v>13</v>
      </c>
      <c r="X17" s="25">
        <v>5.3414285714285716</v>
      </c>
      <c r="Y17" s="25">
        <v>1.0881757811182196</v>
      </c>
      <c r="Z17" s="26">
        <v>6.3129999999999997</v>
      </c>
      <c r="AA17" s="105"/>
    </row>
    <row r="18" spans="1:27" x14ac:dyDescent="0.3">
      <c r="A18" s="241"/>
      <c r="B18" s="42" t="s">
        <v>21</v>
      </c>
      <c r="C18" s="167"/>
      <c r="D18" s="168"/>
      <c r="E18" s="169"/>
      <c r="F18" s="168"/>
      <c r="G18" s="168"/>
      <c r="H18" s="168"/>
      <c r="I18" s="168"/>
      <c r="J18" s="170"/>
      <c r="K18" s="171"/>
      <c r="L18" s="168"/>
      <c r="M18" s="169"/>
      <c r="N18" s="168"/>
      <c r="O18" s="168"/>
      <c r="P18" s="168"/>
      <c r="Q18" s="168"/>
      <c r="R18" s="172"/>
      <c r="S18" s="2">
        <v>5</v>
      </c>
      <c r="T18" s="3">
        <v>15</v>
      </c>
      <c r="U18" s="4">
        <v>3</v>
      </c>
      <c r="V18" s="3">
        <v>5</v>
      </c>
      <c r="W18" s="24">
        <v>6</v>
      </c>
      <c r="X18" s="25">
        <v>5.3719999999999999</v>
      </c>
      <c r="Y18" s="25">
        <v>0.67718239788110135</v>
      </c>
      <c r="Z18" s="26">
        <v>5.9460000000000006</v>
      </c>
      <c r="AA18" s="105"/>
    </row>
    <row r="19" spans="1:27" x14ac:dyDescent="0.3">
      <c r="A19" s="241"/>
      <c r="B19" s="41" t="s">
        <v>54</v>
      </c>
      <c r="C19" s="125">
        <v>36</v>
      </c>
      <c r="D19" s="98">
        <v>99</v>
      </c>
      <c r="E19" s="85">
        <v>2.75</v>
      </c>
      <c r="F19" s="98">
        <v>35</v>
      </c>
      <c r="G19" s="98">
        <v>21</v>
      </c>
      <c r="H19" s="85">
        <v>6.0282857142857136</v>
      </c>
      <c r="I19" s="99">
        <v>0.70111537959897241</v>
      </c>
      <c r="J19" s="88">
        <v>6.8659999999999997</v>
      </c>
      <c r="K19" s="123">
        <v>22</v>
      </c>
      <c r="L19" s="98">
        <v>70</v>
      </c>
      <c r="M19" s="85">
        <v>3.1818181818181817</v>
      </c>
      <c r="N19" s="98">
        <v>21</v>
      </c>
      <c r="O19" s="98">
        <v>29</v>
      </c>
      <c r="P19" s="85">
        <v>6.008571428571428</v>
      </c>
      <c r="Q19" s="99">
        <v>0.61759353033162823</v>
      </c>
      <c r="R19" s="100">
        <v>6.55</v>
      </c>
      <c r="S19" s="137"/>
      <c r="T19" s="138"/>
      <c r="U19" s="139"/>
      <c r="V19" s="138"/>
      <c r="W19" s="138"/>
      <c r="X19" s="139"/>
      <c r="Y19" s="138"/>
      <c r="Z19" s="166"/>
      <c r="AA19" s="105"/>
    </row>
    <row r="20" spans="1:27" x14ac:dyDescent="0.3">
      <c r="A20" s="241"/>
      <c r="B20" s="42" t="s">
        <v>33</v>
      </c>
      <c r="C20" s="167"/>
      <c r="D20" s="168"/>
      <c r="E20" s="169"/>
      <c r="F20" s="168"/>
      <c r="G20" s="168"/>
      <c r="H20" s="168"/>
      <c r="I20" s="168"/>
      <c r="J20" s="170"/>
      <c r="K20" s="171"/>
      <c r="L20" s="168"/>
      <c r="M20" s="169"/>
      <c r="N20" s="168"/>
      <c r="O20" s="168"/>
      <c r="P20" s="168"/>
      <c r="Q20" s="168"/>
      <c r="R20" s="172"/>
      <c r="S20" s="23">
        <v>7</v>
      </c>
      <c r="T20" s="3">
        <v>28</v>
      </c>
      <c r="U20" s="4">
        <v>4</v>
      </c>
      <c r="V20" s="3">
        <v>7</v>
      </c>
      <c r="W20" s="24">
        <v>10</v>
      </c>
      <c r="X20" s="25">
        <v>5.8928571428571432</v>
      </c>
      <c r="Y20" s="25">
        <v>0.3009373112562182</v>
      </c>
      <c r="Z20" s="26">
        <v>6.1019999999999994</v>
      </c>
      <c r="AA20" s="105"/>
    </row>
    <row r="21" spans="1:27" x14ac:dyDescent="0.3">
      <c r="A21" s="241"/>
      <c r="B21" s="42" t="s">
        <v>15</v>
      </c>
      <c r="C21" s="167"/>
      <c r="D21" s="168"/>
      <c r="E21" s="169"/>
      <c r="F21" s="168"/>
      <c r="G21" s="168"/>
      <c r="H21" s="168"/>
      <c r="I21" s="168"/>
      <c r="J21" s="170"/>
      <c r="K21" s="171"/>
      <c r="L21" s="168"/>
      <c r="M21" s="169"/>
      <c r="N21" s="168"/>
      <c r="O21" s="168"/>
      <c r="P21" s="168"/>
      <c r="Q21" s="168"/>
      <c r="R21" s="172"/>
      <c r="S21" s="23">
        <v>25</v>
      </c>
      <c r="T21" s="3">
        <v>80</v>
      </c>
      <c r="U21" s="4">
        <v>3.2</v>
      </c>
      <c r="V21" s="3">
        <v>25</v>
      </c>
      <c r="W21" s="3">
        <v>33</v>
      </c>
      <c r="X21" s="25">
        <v>5.6715999999999998</v>
      </c>
      <c r="Y21" s="25">
        <v>0.50228820412190511</v>
      </c>
      <c r="Z21" s="26">
        <v>6.1040000000000001</v>
      </c>
      <c r="AA21" s="105"/>
    </row>
    <row r="22" spans="1:27" x14ac:dyDescent="0.3">
      <c r="A22" s="241"/>
      <c r="B22" s="41" t="s">
        <v>55</v>
      </c>
      <c r="C22" s="125">
        <v>30</v>
      </c>
      <c r="D22" s="98">
        <v>151</v>
      </c>
      <c r="E22" s="85">
        <v>5.0333333333333332</v>
      </c>
      <c r="F22" s="98">
        <v>30</v>
      </c>
      <c r="G22" s="98">
        <v>23</v>
      </c>
      <c r="H22" s="85">
        <v>4.9366666666666674</v>
      </c>
      <c r="I22" s="99">
        <v>0.50336423746184022</v>
      </c>
      <c r="J22" s="88">
        <v>5.3724999999999996</v>
      </c>
      <c r="K22" s="123">
        <v>30</v>
      </c>
      <c r="L22" s="98">
        <v>187</v>
      </c>
      <c r="M22" s="85">
        <v>6.2333333333333334</v>
      </c>
      <c r="N22" s="98">
        <v>29</v>
      </c>
      <c r="O22" s="98">
        <v>41</v>
      </c>
      <c r="P22" s="85">
        <v>4.9213793103448271</v>
      </c>
      <c r="Q22" s="99">
        <v>0.52145502095798213</v>
      </c>
      <c r="R22" s="100">
        <v>5.4300000000000006</v>
      </c>
      <c r="S22" s="2">
        <v>42</v>
      </c>
      <c r="T22" s="3">
        <v>175</v>
      </c>
      <c r="U22" s="4">
        <v>4.166666666666667</v>
      </c>
      <c r="V22" s="3">
        <v>39</v>
      </c>
      <c r="W22" s="3">
        <v>61</v>
      </c>
      <c r="X22" s="25">
        <v>5.1771794871794867</v>
      </c>
      <c r="Y22" s="25">
        <v>0.62552520996133676</v>
      </c>
      <c r="Z22" s="26">
        <v>5.7719999999999994</v>
      </c>
      <c r="AA22" s="105"/>
    </row>
    <row r="23" spans="1:27" x14ac:dyDescent="0.3">
      <c r="A23" s="241"/>
      <c r="B23" s="41" t="s">
        <v>56</v>
      </c>
      <c r="C23" s="125">
        <v>33</v>
      </c>
      <c r="D23" s="98">
        <v>211</v>
      </c>
      <c r="E23" s="85">
        <v>6.3939393939393936</v>
      </c>
      <c r="F23" s="98">
        <v>28</v>
      </c>
      <c r="G23" s="98">
        <v>40</v>
      </c>
      <c r="H23" s="85">
        <v>4.9589285714285714</v>
      </c>
      <c r="I23" s="99">
        <v>0.68266986000196006</v>
      </c>
      <c r="J23" s="88">
        <v>5.7270000000000003</v>
      </c>
      <c r="K23" s="123">
        <v>24</v>
      </c>
      <c r="L23" s="98">
        <v>165</v>
      </c>
      <c r="M23" s="85">
        <v>6.875</v>
      </c>
      <c r="N23" s="98">
        <v>24</v>
      </c>
      <c r="O23" s="98">
        <v>36</v>
      </c>
      <c r="P23" s="85">
        <v>4.8779166666666667</v>
      </c>
      <c r="Q23" s="99">
        <v>0.69310280121750745</v>
      </c>
      <c r="R23" s="100">
        <v>5.5825000000000005</v>
      </c>
      <c r="S23" s="137"/>
      <c r="T23" s="138"/>
      <c r="U23" s="139"/>
      <c r="V23" s="138"/>
      <c r="W23" s="138"/>
      <c r="X23" s="139"/>
      <c r="Y23" s="138"/>
      <c r="Z23" s="166"/>
      <c r="AA23" s="105"/>
    </row>
    <row r="24" spans="1:27" x14ac:dyDescent="0.3">
      <c r="A24" s="241"/>
      <c r="B24" s="42" t="s">
        <v>17</v>
      </c>
      <c r="C24" s="167"/>
      <c r="D24" s="168"/>
      <c r="E24" s="169"/>
      <c r="F24" s="168"/>
      <c r="G24" s="168"/>
      <c r="H24" s="168"/>
      <c r="I24" s="168"/>
      <c r="J24" s="170"/>
      <c r="K24" s="171"/>
      <c r="L24" s="168"/>
      <c r="M24" s="169"/>
      <c r="N24" s="168"/>
      <c r="O24" s="168"/>
      <c r="P24" s="168"/>
      <c r="Q24" s="168"/>
      <c r="R24" s="172"/>
      <c r="S24" s="2">
        <v>16</v>
      </c>
      <c r="T24" s="3">
        <v>89</v>
      </c>
      <c r="U24" s="4">
        <v>5.5625</v>
      </c>
      <c r="V24" s="3">
        <v>16</v>
      </c>
      <c r="W24" s="24">
        <v>17</v>
      </c>
      <c r="X24" s="25">
        <v>4.223749999999999</v>
      </c>
      <c r="Y24" s="25">
        <v>0.64187104429161634</v>
      </c>
      <c r="Z24" s="26">
        <v>4.7850000000000001</v>
      </c>
      <c r="AA24" s="105"/>
    </row>
    <row r="25" spans="1:27" x14ac:dyDescent="0.3">
      <c r="A25" s="241"/>
      <c r="B25" s="42" t="s">
        <v>18</v>
      </c>
      <c r="C25" s="167"/>
      <c r="D25" s="168"/>
      <c r="E25" s="169"/>
      <c r="F25" s="168"/>
      <c r="G25" s="168"/>
      <c r="H25" s="168"/>
      <c r="I25" s="168"/>
      <c r="J25" s="170"/>
      <c r="K25" s="171"/>
      <c r="L25" s="168"/>
      <c r="M25" s="169"/>
      <c r="N25" s="168"/>
      <c r="O25" s="168"/>
      <c r="P25" s="168"/>
      <c r="Q25" s="168"/>
      <c r="R25" s="172"/>
      <c r="S25" s="2">
        <v>13</v>
      </c>
      <c r="T25" s="3">
        <v>93</v>
      </c>
      <c r="U25" s="4">
        <v>7.1538461538461542</v>
      </c>
      <c r="V25" s="3">
        <v>13</v>
      </c>
      <c r="W25" s="24">
        <v>21</v>
      </c>
      <c r="X25" s="25">
        <v>4.51</v>
      </c>
      <c r="Y25" s="25">
        <v>0.4653038709356429</v>
      </c>
      <c r="Z25" s="26">
        <v>4.9359999999999999</v>
      </c>
      <c r="AA25" s="105"/>
    </row>
    <row r="26" spans="1:27" x14ac:dyDescent="0.3">
      <c r="A26" s="241"/>
      <c r="B26" s="41" t="s">
        <v>57</v>
      </c>
      <c r="C26" s="176"/>
      <c r="D26" s="177"/>
      <c r="E26" s="178"/>
      <c r="F26" s="177"/>
      <c r="G26" s="177"/>
      <c r="H26" s="178"/>
      <c r="I26" s="179"/>
      <c r="J26" s="180"/>
      <c r="K26" s="123">
        <v>6</v>
      </c>
      <c r="L26" s="98">
        <v>30</v>
      </c>
      <c r="M26" s="85">
        <v>5</v>
      </c>
      <c r="N26" s="98">
        <v>5</v>
      </c>
      <c r="O26" s="98">
        <v>7</v>
      </c>
      <c r="P26" s="85">
        <v>5.2700000000000005</v>
      </c>
      <c r="Q26" s="99">
        <v>0.63362449447602387</v>
      </c>
      <c r="R26" s="100">
        <v>5.9779999999999998</v>
      </c>
      <c r="S26" s="2">
        <v>6</v>
      </c>
      <c r="T26" s="3">
        <v>58</v>
      </c>
      <c r="U26" s="4">
        <v>9.6666666666666661</v>
      </c>
      <c r="V26" s="3">
        <v>6</v>
      </c>
      <c r="W26" s="24">
        <v>19</v>
      </c>
      <c r="X26" s="25">
        <v>5.1316666666666668</v>
      </c>
      <c r="Y26" s="25">
        <v>0.26829192227041365</v>
      </c>
      <c r="Z26" s="26">
        <v>5.3150000000000004</v>
      </c>
      <c r="AA26" s="105"/>
    </row>
    <row r="27" spans="1:27" x14ac:dyDescent="0.3">
      <c r="A27" s="241"/>
      <c r="B27" s="41" t="s">
        <v>58</v>
      </c>
      <c r="C27" s="125">
        <v>23</v>
      </c>
      <c r="D27" s="98">
        <v>55</v>
      </c>
      <c r="E27" s="85">
        <v>2.3913043478260869</v>
      </c>
      <c r="F27" s="98">
        <v>23</v>
      </c>
      <c r="G27" s="98">
        <v>27</v>
      </c>
      <c r="H27" s="85">
        <v>5.3860869565217397</v>
      </c>
      <c r="I27" s="99">
        <v>0.73530673357351695</v>
      </c>
      <c r="J27" s="88">
        <v>6.16</v>
      </c>
      <c r="K27" s="123">
        <v>15</v>
      </c>
      <c r="L27" s="98">
        <v>53</v>
      </c>
      <c r="M27" s="85">
        <v>3.5333333333333332</v>
      </c>
      <c r="N27" s="98">
        <v>12</v>
      </c>
      <c r="O27" s="98">
        <v>16</v>
      </c>
      <c r="P27" s="85">
        <v>5.2624999999999993</v>
      </c>
      <c r="Q27" s="99">
        <v>0.36815135021709916</v>
      </c>
      <c r="R27" s="100">
        <v>5.6784999999999997</v>
      </c>
      <c r="S27" s="137"/>
      <c r="T27" s="138"/>
      <c r="U27" s="139"/>
      <c r="V27" s="138"/>
      <c r="W27" s="138"/>
      <c r="X27" s="139"/>
      <c r="Y27" s="138"/>
      <c r="Z27" s="166"/>
      <c r="AA27" s="105"/>
    </row>
    <row r="28" spans="1:27" x14ac:dyDescent="0.3">
      <c r="A28" s="241"/>
      <c r="B28" s="42" t="s">
        <v>35</v>
      </c>
      <c r="C28" s="167"/>
      <c r="D28" s="168"/>
      <c r="E28" s="169"/>
      <c r="F28" s="168"/>
      <c r="G28" s="168"/>
      <c r="H28" s="168"/>
      <c r="I28" s="168"/>
      <c r="J28" s="170"/>
      <c r="K28" s="171"/>
      <c r="L28" s="168"/>
      <c r="M28" s="169"/>
      <c r="N28" s="168"/>
      <c r="O28" s="168"/>
      <c r="P28" s="168"/>
      <c r="Q28" s="168"/>
      <c r="R28" s="172"/>
      <c r="S28" s="2">
        <v>6</v>
      </c>
      <c r="T28" s="3">
        <v>14</v>
      </c>
      <c r="U28" s="4">
        <v>2.3333333333333335</v>
      </c>
      <c r="V28" s="3">
        <v>6</v>
      </c>
      <c r="W28" s="24">
        <v>1</v>
      </c>
      <c r="X28" s="25">
        <v>5.6416666666666666</v>
      </c>
      <c r="Y28" s="25">
        <v>0.87440297092105013</v>
      </c>
      <c r="Z28" s="26">
        <v>6.6225000000000005</v>
      </c>
      <c r="AA28" s="105"/>
    </row>
    <row r="29" spans="1:27" x14ac:dyDescent="0.3">
      <c r="A29" s="241"/>
      <c r="B29" s="42" t="s">
        <v>37</v>
      </c>
      <c r="C29" s="167"/>
      <c r="D29" s="168"/>
      <c r="E29" s="169"/>
      <c r="F29" s="168"/>
      <c r="G29" s="168"/>
      <c r="H29" s="168"/>
      <c r="I29" s="168"/>
      <c r="J29" s="170"/>
      <c r="K29" s="171"/>
      <c r="L29" s="168"/>
      <c r="M29" s="169"/>
      <c r="N29" s="168"/>
      <c r="O29" s="168"/>
      <c r="P29" s="168"/>
      <c r="Q29" s="168"/>
      <c r="R29" s="172"/>
      <c r="S29" s="2">
        <v>7</v>
      </c>
      <c r="T29" s="3">
        <v>24</v>
      </c>
      <c r="U29" s="4">
        <v>3.4285714285714284</v>
      </c>
      <c r="V29" s="3">
        <v>6</v>
      </c>
      <c r="W29" s="24">
        <v>17</v>
      </c>
      <c r="X29" s="25">
        <v>4.8466666666666667</v>
      </c>
      <c r="Y29" s="25">
        <v>0.5048652185374759</v>
      </c>
      <c r="Z29" s="26">
        <v>5.32</v>
      </c>
      <c r="AA29" s="105"/>
    </row>
    <row r="30" spans="1:27" x14ac:dyDescent="0.3">
      <c r="A30" s="241"/>
      <c r="B30" s="42" t="s">
        <v>20</v>
      </c>
      <c r="C30" s="167"/>
      <c r="D30" s="168"/>
      <c r="E30" s="169"/>
      <c r="F30" s="168"/>
      <c r="G30" s="168"/>
      <c r="H30" s="168"/>
      <c r="I30" s="168"/>
      <c r="J30" s="170"/>
      <c r="K30" s="171"/>
      <c r="L30" s="168"/>
      <c r="M30" s="169"/>
      <c r="N30" s="168"/>
      <c r="O30" s="168"/>
      <c r="P30" s="168"/>
      <c r="Q30" s="168"/>
      <c r="R30" s="172"/>
      <c r="S30" s="2">
        <v>8</v>
      </c>
      <c r="T30" s="3">
        <v>25</v>
      </c>
      <c r="U30" s="4">
        <v>3.125</v>
      </c>
      <c r="V30" s="3">
        <v>7</v>
      </c>
      <c r="W30" s="24">
        <v>17</v>
      </c>
      <c r="X30" s="25">
        <v>5.5028571428571444</v>
      </c>
      <c r="Y30" s="25">
        <v>0.48578991007911948</v>
      </c>
      <c r="Z30" s="26">
        <v>5.8970000000000002</v>
      </c>
      <c r="AA30" s="105"/>
    </row>
    <row r="31" spans="1:27" x14ac:dyDescent="0.3">
      <c r="A31" s="241"/>
      <c r="B31" s="41" t="s">
        <v>59</v>
      </c>
      <c r="C31" s="125">
        <v>5</v>
      </c>
      <c r="D31" s="98">
        <v>16</v>
      </c>
      <c r="E31" s="85">
        <v>3.2</v>
      </c>
      <c r="F31" s="98">
        <v>5</v>
      </c>
      <c r="G31" s="98">
        <v>1</v>
      </c>
      <c r="H31" s="85">
        <v>5.846000000000001</v>
      </c>
      <c r="I31" s="99">
        <v>0.58932503764899558</v>
      </c>
      <c r="J31" s="88">
        <v>6.2780000000000005</v>
      </c>
      <c r="K31" s="123">
        <v>5</v>
      </c>
      <c r="L31" s="98">
        <v>34</v>
      </c>
      <c r="M31" s="85">
        <v>6.8</v>
      </c>
      <c r="N31" s="98">
        <v>5</v>
      </c>
      <c r="O31" s="98">
        <v>2</v>
      </c>
      <c r="P31" s="85">
        <v>5.846000000000001</v>
      </c>
      <c r="Q31" s="99">
        <v>0.32604294195702349</v>
      </c>
      <c r="R31" s="100">
        <v>6.1660000000000004</v>
      </c>
      <c r="S31" s="2">
        <v>6</v>
      </c>
      <c r="T31" s="3">
        <v>15</v>
      </c>
      <c r="U31" s="4">
        <v>2.5</v>
      </c>
      <c r="V31" s="3">
        <v>6</v>
      </c>
      <c r="W31" s="24">
        <v>5</v>
      </c>
      <c r="X31" s="25">
        <v>6.54</v>
      </c>
      <c r="Y31" s="25">
        <v>0.85570633591982603</v>
      </c>
      <c r="Z31" s="26">
        <v>7.5549999999999997</v>
      </c>
      <c r="AA31" s="105"/>
    </row>
    <row r="32" spans="1:27" x14ac:dyDescent="0.3">
      <c r="A32" s="241"/>
      <c r="B32" s="41" t="s">
        <v>60</v>
      </c>
      <c r="C32" s="125">
        <v>8</v>
      </c>
      <c r="D32" s="98">
        <v>35</v>
      </c>
      <c r="E32" s="85">
        <v>4.375</v>
      </c>
      <c r="F32" s="98">
        <v>8</v>
      </c>
      <c r="G32" s="98">
        <v>6</v>
      </c>
      <c r="H32" s="85">
        <v>5.6437500000000007</v>
      </c>
      <c r="I32" s="99">
        <v>0.2595157750503635</v>
      </c>
      <c r="J32" s="88">
        <v>5.7679999999999998</v>
      </c>
      <c r="K32" s="123">
        <v>7</v>
      </c>
      <c r="L32" s="98">
        <v>23</v>
      </c>
      <c r="M32" s="85">
        <v>3.2857142857142856</v>
      </c>
      <c r="N32" s="98">
        <v>6</v>
      </c>
      <c r="O32" s="98">
        <v>11</v>
      </c>
      <c r="P32" s="85">
        <v>5.8633333333333333</v>
      </c>
      <c r="Q32" s="99">
        <v>0.71769693387173583</v>
      </c>
      <c r="R32" s="100">
        <v>6.31</v>
      </c>
      <c r="S32" s="2">
        <v>8</v>
      </c>
      <c r="T32" s="3">
        <v>23</v>
      </c>
      <c r="U32" s="4">
        <v>2.875</v>
      </c>
      <c r="V32" s="3">
        <v>7</v>
      </c>
      <c r="W32" s="24">
        <v>9</v>
      </c>
      <c r="X32" s="25">
        <v>5.5285714285714294</v>
      </c>
      <c r="Y32" s="25">
        <v>0.80672935046268957</v>
      </c>
      <c r="Z32" s="26">
        <v>5.9630000000000001</v>
      </c>
      <c r="AA32" s="105"/>
    </row>
    <row r="33" spans="1:27" x14ac:dyDescent="0.3">
      <c r="A33" s="241"/>
      <c r="B33" s="41" t="s">
        <v>61</v>
      </c>
      <c r="C33" s="125">
        <v>6</v>
      </c>
      <c r="D33" s="98">
        <v>36</v>
      </c>
      <c r="E33" s="85">
        <v>6</v>
      </c>
      <c r="F33" s="98">
        <v>6</v>
      </c>
      <c r="G33" s="98">
        <v>8</v>
      </c>
      <c r="H33" s="85">
        <v>5.3866666666666667</v>
      </c>
      <c r="I33" s="99">
        <v>0.58004789074312535</v>
      </c>
      <c r="J33" s="88">
        <v>5.9349999999999996</v>
      </c>
      <c r="K33" s="123">
        <v>6</v>
      </c>
      <c r="L33" s="98">
        <v>19</v>
      </c>
      <c r="M33" s="85">
        <v>3.1666666666666665</v>
      </c>
      <c r="N33" s="98">
        <v>4</v>
      </c>
      <c r="O33" s="98">
        <v>13</v>
      </c>
      <c r="P33" s="85">
        <v>5.6124999999999998</v>
      </c>
      <c r="Q33" s="99">
        <v>1.0160554856896367</v>
      </c>
      <c r="R33" s="100">
        <v>6.3205</v>
      </c>
      <c r="S33" s="2">
        <v>9</v>
      </c>
      <c r="T33" s="3">
        <v>33</v>
      </c>
      <c r="U33" s="4">
        <v>3.6666666666666665</v>
      </c>
      <c r="V33" s="3">
        <v>8</v>
      </c>
      <c r="W33" s="24">
        <v>9</v>
      </c>
      <c r="X33" s="25">
        <v>5.3912500000000003</v>
      </c>
      <c r="Y33" s="25">
        <v>0.4343511684109948</v>
      </c>
      <c r="Z33" s="26">
        <v>5.7174999999999994</v>
      </c>
      <c r="AA33" s="105"/>
    </row>
    <row r="34" spans="1:27" ht="17.25" thickBot="1" x14ac:dyDescent="0.35">
      <c r="A34" s="243"/>
      <c r="B34" s="56" t="s">
        <v>63</v>
      </c>
      <c r="C34" s="126">
        <v>222</v>
      </c>
      <c r="D34" s="101">
        <v>1074</v>
      </c>
      <c r="E34" s="91">
        <v>4.8378378378378377</v>
      </c>
      <c r="F34" s="101">
        <v>213</v>
      </c>
      <c r="G34" s="101">
        <v>200</v>
      </c>
      <c r="H34" s="91">
        <v>5.3920187793427194</v>
      </c>
      <c r="I34" s="102">
        <v>0.7635290928993641</v>
      </c>
      <c r="J34" s="181"/>
      <c r="K34" s="124">
        <v>188</v>
      </c>
      <c r="L34" s="101">
        <v>1047</v>
      </c>
      <c r="M34" s="91">
        <v>5.5691489361702127</v>
      </c>
      <c r="N34" s="101">
        <v>178</v>
      </c>
      <c r="O34" s="101">
        <v>241</v>
      </c>
      <c r="P34" s="91">
        <v>5.3317415730337059</v>
      </c>
      <c r="Q34" s="102">
        <v>0.70705100539265497</v>
      </c>
      <c r="R34" s="182"/>
      <c r="S34" s="5">
        <v>255</v>
      </c>
      <c r="T34" s="6">
        <v>1129</v>
      </c>
      <c r="U34" s="7">
        <v>4.4274509803921571</v>
      </c>
      <c r="V34" s="6">
        <v>247</v>
      </c>
      <c r="W34" s="72">
        <v>366</v>
      </c>
      <c r="X34" s="73">
        <v>5.2583400809716601</v>
      </c>
      <c r="Y34" s="73">
        <v>0.75524996380452181</v>
      </c>
      <c r="Z34" s="183"/>
    </row>
    <row r="35" spans="1:27" x14ac:dyDescent="0.3">
      <c r="A35" s="240" t="s">
        <v>23</v>
      </c>
      <c r="B35" s="51" t="s">
        <v>50</v>
      </c>
      <c r="C35" s="184"/>
      <c r="D35" s="185"/>
      <c r="E35" s="186"/>
      <c r="F35" s="185"/>
      <c r="G35" s="185"/>
      <c r="H35" s="186"/>
      <c r="I35" s="187"/>
      <c r="J35" s="188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2"/>
    </row>
    <row r="36" spans="1:27" x14ac:dyDescent="0.3">
      <c r="A36" s="241"/>
      <c r="B36" s="41" t="s">
        <v>51</v>
      </c>
      <c r="C36" s="176"/>
      <c r="D36" s="177"/>
      <c r="E36" s="178"/>
      <c r="F36" s="177"/>
      <c r="G36" s="177"/>
      <c r="H36" s="178"/>
      <c r="I36" s="179"/>
      <c r="J36" s="180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4"/>
    </row>
    <row r="37" spans="1:27" x14ac:dyDescent="0.3">
      <c r="A37" s="241"/>
      <c r="B37" s="41" t="s">
        <v>52</v>
      </c>
      <c r="C37" s="176"/>
      <c r="D37" s="177"/>
      <c r="E37" s="178"/>
      <c r="F37" s="177"/>
      <c r="G37" s="177"/>
      <c r="H37" s="178"/>
      <c r="I37" s="179"/>
      <c r="J37" s="180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4"/>
    </row>
    <row r="38" spans="1:27" x14ac:dyDescent="0.3">
      <c r="A38" s="241"/>
      <c r="B38" s="41" t="s">
        <v>53</v>
      </c>
      <c r="C38" s="176"/>
      <c r="D38" s="177"/>
      <c r="E38" s="178"/>
      <c r="F38" s="177"/>
      <c r="G38" s="177"/>
      <c r="H38" s="178"/>
      <c r="I38" s="179"/>
      <c r="J38" s="180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4"/>
    </row>
    <row r="39" spans="1:27" x14ac:dyDescent="0.3">
      <c r="A39" s="241"/>
      <c r="B39" s="41" t="s">
        <v>54</v>
      </c>
      <c r="C39" s="176"/>
      <c r="D39" s="177"/>
      <c r="E39" s="178"/>
      <c r="F39" s="177"/>
      <c r="G39" s="177"/>
      <c r="H39" s="178"/>
      <c r="I39" s="179"/>
      <c r="J39" s="180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4"/>
    </row>
    <row r="40" spans="1:27" x14ac:dyDescent="0.3">
      <c r="A40" s="241"/>
      <c r="B40" s="41" t="s">
        <v>55</v>
      </c>
      <c r="C40" s="176"/>
      <c r="D40" s="177"/>
      <c r="E40" s="178"/>
      <c r="F40" s="177"/>
      <c r="G40" s="177"/>
      <c r="H40" s="178"/>
      <c r="I40" s="179"/>
      <c r="J40" s="180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4"/>
    </row>
    <row r="41" spans="1:27" x14ac:dyDescent="0.3">
      <c r="A41" s="241"/>
      <c r="B41" s="41" t="s">
        <v>56</v>
      </c>
      <c r="C41" s="176"/>
      <c r="D41" s="177"/>
      <c r="E41" s="178"/>
      <c r="F41" s="177"/>
      <c r="G41" s="177"/>
      <c r="H41" s="178"/>
      <c r="I41" s="179"/>
      <c r="J41" s="180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4"/>
    </row>
    <row r="42" spans="1:27" x14ac:dyDescent="0.3">
      <c r="A42" s="241"/>
      <c r="B42" s="41" t="s">
        <v>58</v>
      </c>
      <c r="C42" s="176"/>
      <c r="D42" s="177"/>
      <c r="E42" s="178"/>
      <c r="F42" s="177"/>
      <c r="G42" s="177"/>
      <c r="H42" s="178"/>
      <c r="I42" s="179"/>
      <c r="J42" s="180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4"/>
    </row>
    <row r="43" spans="1:27" x14ac:dyDescent="0.3">
      <c r="A43" s="241"/>
      <c r="B43" s="41" t="s">
        <v>59</v>
      </c>
      <c r="C43" s="176"/>
      <c r="D43" s="177"/>
      <c r="E43" s="178"/>
      <c r="F43" s="177"/>
      <c r="G43" s="177"/>
      <c r="H43" s="178"/>
      <c r="I43" s="179"/>
      <c r="J43" s="180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4"/>
    </row>
    <row r="44" spans="1:27" x14ac:dyDescent="0.3">
      <c r="A44" s="241"/>
      <c r="B44" s="41" t="s">
        <v>60</v>
      </c>
      <c r="C44" s="176"/>
      <c r="D44" s="177"/>
      <c r="E44" s="178"/>
      <c r="F44" s="177"/>
      <c r="G44" s="177"/>
      <c r="H44" s="178"/>
      <c r="I44" s="179"/>
      <c r="J44" s="180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4"/>
    </row>
    <row r="45" spans="1:27" x14ac:dyDescent="0.3">
      <c r="A45" s="241"/>
      <c r="B45" s="41" t="s">
        <v>61</v>
      </c>
      <c r="C45" s="176"/>
      <c r="D45" s="177"/>
      <c r="E45" s="178"/>
      <c r="F45" s="177"/>
      <c r="G45" s="177"/>
      <c r="H45" s="178"/>
      <c r="I45" s="179"/>
      <c r="J45" s="180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4"/>
    </row>
    <row r="46" spans="1:27" x14ac:dyDescent="0.3">
      <c r="A46" s="242"/>
      <c r="B46" s="47" t="s">
        <v>84</v>
      </c>
      <c r="C46" s="127">
        <v>65</v>
      </c>
      <c r="D46" s="107">
        <v>342</v>
      </c>
      <c r="E46" s="108">
        <v>5.2615384615384615</v>
      </c>
      <c r="F46" s="107">
        <v>64</v>
      </c>
      <c r="G46" s="107">
        <v>48</v>
      </c>
      <c r="H46" s="108">
        <v>5.8823437499999986</v>
      </c>
      <c r="I46" s="109">
        <v>0.59188982871472939</v>
      </c>
      <c r="J46" s="110">
        <v>6.4355000000000002</v>
      </c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4"/>
    </row>
    <row r="47" spans="1:27" ht="17.25" thickBot="1" x14ac:dyDescent="0.35">
      <c r="A47" s="243"/>
      <c r="B47" s="56" t="s">
        <v>63</v>
      </c>
      <c r="C47" s="126">
        <v>65</v>
      </c>
      <c r="D47" s="101">
        <v>342</v>
      </c>
      <c r="E47" s="91">
        <v>5.2615384615384615</v>
      </c>
      <c r="F47" s="101">
        <v>64</v>
      </c>
      <c r="G47" s="101">
        <v>48</v>
      </c>
      <c r="H47" s="91">
        <v>5.8823437499999986</v>
      </c>
      <c r="I47" s="102">
        <v>0.59188982871472939</v>
      </c>
      <c r="J47" s="181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6"/>
    </row>
  </sheetData>
  <mergeCells count="14">
    <mergeCell ref="A35:A47"/>
    <mergeCell ref="K5:O5"/>
    <mergeCell ref="P5:R5"/>
    <mergeCell ref="A7:A34"/>
    <mergeCell ref="A1:Z1"/>
    <mergeCell ref="A4:A6"/>
    <mergeCell ref="B4:B6"/>
    <mergeCell ref="S4:Z4"/>
    <mergeCell ref="S5:W5"/>
    <mergeCell ref="X5:Z5"/>
    <mergeCell ref="K4:R4"/>
    <mergeCell ref="C4:J4"/>
    <mergeCell ref="C5:G5"/>
    <mergeCell ref="H5:J5"/>
  </mergeCells>
  <phoneticPr fontId="2" type="noConversion"/>
  <printOptions horizontalCentered="1"/>
  <pageMargins left="0.39370078740157483" right="0.39370078740157483" top="0.74803149606299213" bottom="0.55118110236220474" header="0.31496062992125984" footer="0.23622047244094491"/>
  <pageSetup paperSize="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Z37"/>
  <sheetViews>
    <sheetView showGridLines="0" zoomScale="85" zoomScaleNormal="85" workbookViewId="0">
      <pane xSplit="4" ySplit="8" topLeftCell="E9" activePane="bottomRight" state="frozen"/>
      <selection pane="topRight" activeCell="E1" sqref="E1"/>
      <selection pane="bottomLeft" activeCell="A6" sqref="A6"/>
      <selection pane="bottomRight" sqref="A1:AZ1"/>
    </sheetView>
  </sheetViews>
  <sheetFormatPr defaultRowHeight="16.5" x14ac:dyDescent="0.3"/>
  <cols>
    <col min="1" max="1" width="12.625" customWidth="1"/>
    <col min="2" max="2" width="30.625" customWidth="1"/>
    <col min="3" max="3" width="12.625" bestFit="1" customWidth="1"/>
    <col min="4" max="36" width="6" customWidth="1"/>
    <col min="37" max="52" width="5.375" customWidth="1"/>
  </cols>
  <sheetData>
    <row r="1" spans="1:52" ht="31.5" x14ac:dyDescent="0.3">
      <c r="A1" s="223" t="s">
        <v>29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</row>
    <row r="2" spans="1:52" ht="16.5" customHeight="1" x14ac:dyDescent="0.3">
      <c r="A2" s="17"/>
      <c r="B2" s="17"/>
      <c r="C2" s="17"/>
      <c r="D2" s="17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</row>
    <row r="3" spans="1:52" x14ac:dyDescent="0.3">
      <c r="A3" t="s">
        <v>83</v>
      </c>
    </row>
    <row r="4" spans="1:52" x14ac:dyDescent="0.3">
      <c r="A4" s="103" t="s">
        <v>79</v>
      </c>
    </row>
    <row r="5" spans="1:52" ht="17.25" thickBot="1" x14ac:dyDescent="0.35">
      <c r="A5" s="103" t="s">
        <v>78</v>
      </c>
    </row>
    <row r="6" spans="1:52" x14ac:dyDescent="0.3">
      <c r="A6" s="245" t="s">
        <v>11</v>
      </c>
      <c r="B6" s="254" t="s">
        <v>0</v>
      </c>
      <c r="C6" s="254" t="s">
        <v>24</v>
      </c>
      <c r="D6" s="256" t="s">
        <v>81</v>
      </c>
      <c r="E6" s="228" t="s">
        <v>80</v>
      </c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30"/>
      <c r="U6" s="228" t="s">
        <v>49</v>
      </c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30"/>
      <c r="AK6" s="228" t="s">
        <v>44</v>
      </c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Y6" s="229"/>
      <c r="AZ6" s="230"/>
    </row>
    <row r="7" spans="1:52" ht="30" customHeight="1" x14ac:dyDescent="0.3">
      <c r="A7" s="246"/>
      <c r="B7" s="255"/>
      <c r="C7" s="255"/>
      <c r="D7" s="248"/>
      <c r="E7" s="231" t="s">
        <v>82</v>
      </c>
      <c r="F7" s="232"/>
      <c r="G7" s="232"/>
      <c r="H7" s="232"/>
      <c r="I7" s="232"/>
      <c r="J7" s="238" t="s">
        <v>71</v>
      </c>
      <c r="K7" s="238"/>
      <c r="L7" s="238"/>
      <c r="M7" s="238"/>
      <c r="N7" s="238" t="s">
        <v>75</v>
      </c>
      <c r="O7" s="238"/>
      <c r="P7" s="238"/>
      <c r="Q7" s="238" t="s">
        <v>76</v>
      </c>
      <c r="R7" s="238"/>
      <c r="S7" s="238"/>
      <c r="T7" s="239"/>
      <c r="U7" s="231" t="s">
        <v>70</v>
      </c>
      <c r="V7" s="232"/>
      <c r="W7" s="232"/>
      <c r="X7" s="232"/>
      <c r="Y7" s="232"/>
      <c r="Z7" s="238" t="s">
        <v>71</v>
      </c>
      <c r="AA7" s="238"/>
      <c r="AB7" s="238"/>
      <c r="AC7" s="238"/>
      <c r="AD7" s="238" t="s">
        <v>75</v>
      </c>
      <c r="AE7" s="238"/>
      <c r="AF7" s="238"/>
      <c r="AG7" s="238" t="s">
        <v>76</v>
      </c>
      <c r="AH7" s="238"/>
      <c r="AI7" s="238"/>
      <c r="AJ7" s="239"/>
      <c r="AK7" s="231" t="s">
        <v>48</v>
      </c>
      <c r="AL7" s="232"/>
      <c r="AM7" s="232"/>
      <c r="AN7" s="232"/>
      <c r="AO7" s="232"/>
      <c r="AP7" s="238" t="s">
        <v>71</v>
      </c>
      <c r="AQ7" s="238"/>
      <c r="AR7" s="238"/>
      <c r="AS7" s="238"/>
      <c r="AT7" s="238" t="s">
        <v>77</v>
      </c>
      <c r="AU7" s="238"/>
      <c r="AV7" s="238"/>
      <c r="AW7" s="238" t="s">
        <v>43</v>
      </c>
      <c r="AX7" s="238"/>
      <c r="AY7" s="238"/>
      <c r="AZ7" s="239"/>
    </row>
    <row r="8" spans="1:52" ht="36" x14ac:dyDescent="0.3">
      <c r="A8" s="246"/>
      <c r="B8" s="255"/>
      <c r="C8" s="255"/>
      <c r="D8" s="248"/>
      <c r="E8" s="128" t="s">
        <v>4</v>
      </c>
      <c r="F8" s="129" t="s">
        <v>5</v>
      </c>
      <c r="G8" s="130" t="s">
        <v>6</v>
      </c>
      <c r="H8" s="129" t="s">
        <v>32</v>
      </c>
      <c r="I8" s="129" t="s">
        <v>7</v>
      </c>
      <c r="J8" s="129" t="s">
        <v>25</v>
      </c>
      <c r="K8" s="129" t="s">
        <v>26</v>
      </c>
      <c r="L8" s="129" t="s">
        <v>28</v>
      </c>
      <c r="M8" s="191">
        <v>0.85</v>
      </c>
      <c r="N8" s="129" t="s">
        <v>26</v>
      </c>
      <c r="O8" s="129" t="s">
        <v>28</v>
      </c>
      <c r="P8" s="191">
        <v>0.85</v>
      </c>
      <c r="Q8" s="129" t="s">
        <v>25</v>
      </c>
      <c r="R8" s="129" t="s">
        <v>26</v>
      </c>
      <c r="S8" s="129" t="s">
        <v>28</v>
      </c>
      <c r="T8" s="192">
        <v>0.85</v>
      </c>
      <c r="U8" s="128" t="s">
        <v>4</v>
      </c>
      <c r="V8" s="129" t="s">
        <v>5</v>
      </c>
      <c r="W8" s="130" t="s">
        <v>6</v>
      </c>
      <c r="X8" s="129" t="s">
        <v>32</v>
      </c>
      <c r="Y8" s="129" t="s">
        <v>7</v>
      </c>
      <c r="Z8" s="129" t="s">
        <v>25</v>
      </c>
      <c r="AA8" s="129" t="s">
        <v>26</v>
      </c>
      <c r="AB8" s="129" t="s">
        <v>28</v>
      </c>
      <c r="AC8" s="191">
        <v>0.85</v>
      </c>
      <c r="AD8" s="129" t="s">
        <v>26</v>
      </c>
      <c r="AE8" s="129" t="s">
        <v>28</v>
      </c>
      <c r="AF8" s="191">
        <v>0.85</v>
      </c>
      <c r="AG8" s="129" t="s">
        <v>25</v>
      </c>
      <c r="AH8" s="129" t="s">
        <v>26</v>
      </c>
      <c r="AI8" s="129" t="s">
        <v>28</v>
      </c>
      <c r="AJ8" s="192">
        <v>0.85</v>
      </c>
      <c r="AK8" s="128" t="s">
        <v>4</v>
      </c>
      <c r="AL8" s="129" t="s">
        <v>5</v>
      </c>
      <c r="AM8" s="130" t="s">
        <v>6</v>
      </c>
      <c r="AN8" s="129" t="s">
        <v>32</v>
      </c>
      <c r="AO8" s="129" t="s">
        <v>7</v>
      </c>
      <c r="AP8" s="129" t="s">
        <v>25</v>
      </c>
      <c r="AQ8" s="129" t="s">
        <v>26</v>
      </c>
      <c r="AR8" s="129" t="s">
        <v>28</v>
      </c>
      <c r="AS8" s="191">
        <v>0.85</v>
      </c>
      <c r="AT8" s="129" t="s">
        <v>26</v>
      </c>
      <c r="AU8" s="129" t="s">
        <v>28</v>
      </c>
      <c r="AV8" s="191">
        <v>0.85</v>
      </c>
      <c r="AW8" s="129" t="s">
        <v>25</v>
      </c>
      <c r="AX8" s="129" t="s">
        <v>26</v>
      </c>
      <c r="AY8" s="129" t="s">
        <v>28</v>
      </c>
      <c r="AZ8" s="192">
        <v>0.85</v>
      </c>
    </row>
    <row r="9" spans="1:52" s="74" customFormat="1" ht="22.5" customHeight="1" x14ac:dyDescent="0.3">
      <c r="A9" s="242" t="s">
        <v>22</v>
      </c>
      <c r="B9" s="76" t="s">
        <v>50</v>
      </c>
      <c r="C9" s="75" t="s">
        <v>69</v>
      </c>
      <c r="D9" s="30" t="s">
        <v>72</v>
      </c>
      <c r="E9" s="83">
        <v>15</v>
      </c>
      <c r="F9" s="84">
        <v>118</v>
      </c>
      <c r="G9" s="85">
        <v>7.8666666666666663</v>
      </c>
      <c r="H9" s="84">
        <v>15</v>
      </c>
      <c r="I9" s="84">
        <v>10</v>
      </c>
      <c r="J9" s="84">
        <v>100</v>
      </c>
      <c r="K9" s="86">
        <v>63.977800000000002</v>
      </c>
      <c r="L9" s="86">
        <v>6.1672705275510431</v>
      </c>
      <c r="M9" s="86">
        <v>57.833600000000004</v>
      </c>
      <c r="N9" s="85">
        <v>3.4443999999999999</v>
      </c>
      <c r="O9" s="85">
        <v>0.31437977034154496</v>
      </c>
      <c r="P9" s="85">
        <v>3.6669999999999998</v>
      </c>
      <c r="Q9" s="84">
        <v>100</v>
      </c>
      <c r="R9" s="85">
        <v>82.253533333333337</v>
      </c>
      <c r="S9" s="85">
        <v>1.5568210715711548</v>
      </c>
      <c r="T9" s="88">
        <v>80.478999999999999</v>
      </c>
      <c r="U9" s="83">
        <v>17</v>
      </c>
      <c r="V9" s="84">
        <v>75</v>
      </c>
      <c r="W9" s="85">
        <v>5.3571428571428568</v>
      </c>
      <c r="X9" s="84">
        <v>17</v>
      </c>
      <c r="Y9" s="84">
        <v>15</v>
      </c>
      <c r="Z9" s="84">
        <v>100</v>
      </c>
      <c r="AA9" s="86">
        <v>60.313764705882356</v>
      </c>
      <c r="AB9" s="86">
        <v>5.6642286690444497</v>
      </c>
      <c r="AC9" s="86">
        <v>55.200200000000002</v>
      </c>
      <c r="AD9" s="85">
        <v>3.7451176470588234</v>
      </c>
      <c r="AE9" s="85">
        <v>0.30759559799046893</v>
      </c>
      <c r="AF9" s="85">
        <v>4</v>
      </c>
      <c r="AG9" s="87">
        <v>100</v>
      </c>
      <c r="AH9" s="85">
        <v>78.230647058823521</v>
      </c>
      <c r="AI9" s="85">
        <v>2.2999569034630913</v>
      </c>
      <c r="AJ9" s="88">
        <v>75.692400000000006</v>
      </c>
      <c r="AK9" s="137"/>
      <c r="AL9" s="138"/>
      <c r="AM9" s="139"/>
      <c r="AN9" s="138"/>
      <c r="AO9" s="138"/>
      <c r="AP9" s="138"/>
      <c r="AQ9" s="138"/>
      <c r="AR9" s="138"/>
      <c r="AS9" s="204"/>
      <c r="AT9" s="138"/>
      <c r="AU9" s="138"/>
      <c r="AV9" s="204"/>
      <c r="AW9" s="138"/>
      <c r="AX9" s="138"/>
      <c r="AY9" s="138"/>
      <c r="AZ9" s="205"/>
    </row>
    <row r="10" spans="1:52" ht="22.5" customHeight="1" x14ac:dyDescent="0.3">
      <c r="A10" s="252"/>
      <c r="B10" s="77" t="s">
        <v>14</v>
      </c>
      <c r="C10" s="193"/>
      <c r="D10" s="194"/>
      <c r="E10" s="167"/>
      <c r="F10" s="168"/>
      <c r="G10" s="168"/>
      <c r="H10" s="168"/>
      <c r="I10" s="168"/>
      <c r="J10" s="168"/>
      <c r="K10" s="197"/>
      <c r="L10" s="197"/>
      <c r="M10" s="197"/>
      <c r="N10" s="168"/>
      <c r="O10" s="168"/>
      <c r="P10" s="168"/>
      <c r="Q10" s="168"/>
      <c r="R10" s="168"/>
      <c r="S10" s="168"/>
      <c r="T10" s="170"/>
      <c r="U10" s="167"/>
      <c r="V10" s="168"/>
      <c r="W10" s="168"/>
      <c r="X10" s="168"/>
      <c r="Y10" s="168"/>
      <c r="Z10" s="168"/>
      <c r="AA10" s="197"/>
      <c r="AB10" s="197"/>
      <c r="AC10" s="197"/>
      <c r="AD10" s="168"/>
      <c r="AE10" s="168"/>
      <c r="AF10" s="168"/>
      <c r="AG10" s="198"/>
      <c r="AH10" s="168"/>
      <c r="AI10" s="168"/>
      <c r="AJ10" s="170"/>
      <c r="AK10" s="19">
        <v>9</v>
      </c>
      <c r="AL10" s="20">
        <v>51</v>
      </c>
      <c r="AM10" s="21">
        <v>5.666666666666667</v>
      </c>
      <c r="AN10" s="20">
        <v>8</v>
      </c>
      <c r="AO10" s="20">
        <v>13</v>
      </c>
      <c r="AP10" s="20">
        <v>100</v>
      </c>
      <c r="AQ10" s="27">
        <v>64.791666666666671</v>
      </c>
      <c r="AR10" s="27">
        <v>3.9893521473485825</v>
      </c>
      <c r="AS10" s="27">
        <v>62.133333333333333</v>
      </c>
      <c r="AT10" s="21">
        <v>3.5417500000000004</v>
      </c>
      <c r="AU10" s="21">
        <v>0.28578608696015728</v>
      </c>
      <c r="AV10" s="21">
        <v>3.6669999999999998</v>
      </c>
      <c r="AW10" s="20">
        <v>100</v>
      </c>
      <c r="AX10" s="20">
        <v>82.118124999999992</v>
      </c>
      <c r="AY10" s="21">
        <v>2.2298541677375177</v>
      </c>
      <c r="AZ10" s="80">
        <v>79.578000000000003</v>
      </c>
    </row>
    <row r="11" spans="1:52" ht="22.5" customHeight="1" x14ac:dyDescent="0.3">
      <c r="A11" s="252"/>
      <c r="B11" s="77" t="s">
        <v>16</v>
      </c>
      <c r="C11" s="193"/>
      <c r="D11" s="194"/>
      <c r="E11" s="167"/>
      <c r="F11" s="168"/>
      <c r="G11" s="168"/>
      <c r="H11" s="168"/>
      <c r="I11" s="168"/>
      <c r="J11" s="168"/>
      <c r="K11" s="197"/>
      <c r="L11" s="197"/>
      <c r="M11" s="197"/>
      <c r="N11" s="168"/>
      <c r="O11" s="168"/>
      <c r="P11" s="168"/>
      <c r="Q11" s="168"/>
      <c r="R11" s="168"/>
      <c r="S11" s="168"/>
      <c r="T11" s="170"/>
      <c r="U11" s="167"/>
      <c r="V11" s="168"/>
      <c r="W11" s="168"/>
      <c r="X11" s="168"/>
      <c r="Y11" s="168"/>
      <c r="Z11" s="168"/>
      <c r="AA11" s="197"/>
      <c r="AB11" s="197"/>
      <c r="AC11" s="197"/>
      <c r="AD11" s="168"/>
      <c r="AE11" s="168"/>
      <c r="AF11" s="168"/>
      <c r="AG11" s="198"/>
      <c r="AH11" s="168"/>
      <c r="AI11" s="168"/>
      <c r="AJ11" s="170"/>
      <c r="AK11" s="19">
        <v>11</v>
      </c>
      <c r="AL11" s="20">
        <v>71</v>
      </c>
      <c r="AM11" s="21">
        <v>6.4545454545454541</v>
      </c>
      <c r="AN11" s="20">
        <v>10</v>
      </c>
      <c r="AO11" s="20">
        <v>10</v>
      </c>
      <c r="AP11" s="20">
        <v>100</v>
      </c>
      <c r="AQ11" s="27">
        <v>62.36666666666666</v>
      </c>
      <c r="AR11" s="27">
        <v>5.2227068333065434</v>
      </c>
      <c r="AS11" s="27">
        <v>57.833333333333329</v>
      </c>
      <c r="AT11" s="21">
        <v>3.8665999999999996</v>
      </c>
      <c r="AU11" s="21">
        <v>0.33990857594359702</v>
      </c>
      <c r="AV11" s="21">
        <v>4.21645</v>
      </c>
      <c r="AW11" s="20">
        <v>100</v>
      </c>
      <c r="AX11" s="20">
        <v>79.291000000000011</v>
      </c>
      <c r="AY11" s="21">
        <v>1.5669090592626018</v>
      </c>
      <c r="AZ11" s="80">
        <v>77.794000000000011</v>
      </c>
    </row>
    <row r="12" spans="1:52" ht="22.5" customHeight="1" x14ac:dyDescent="0.3">
      <c r="A12" s="252"/>
      <c r="B12" s="77" t="s">
        <v>19</v>
      </c>
      <c r="C12" s="193"/>
      <c r="D12" s="194"/>
      <c r="E12" s="167"/>
      <c r="F12" s="168"/>
      <c r="G12" s="168"/>
      <c r="H12" s="168"/>
      <c r="I12" s="168"/>
      <c r="J12" s="168"/>
      <c r="K12" s="197"/>
      <c r="L12" s="197"/>
      <c r="M12" s="197"/>
      <c r="N12" s="168"/>
      <c r="O12" s="168"/>
      <c r="P12" s="168"/>
      <c r="Q12" s="168"/>
      <c r="R12" s="168"/>
      <c r="S12" s="168"/>
      <c r="T12" s="170"/>
      <c r="U12" s="167"/>
      <c r="V12" s="168"/>
      <c r="W12" s="168"/>
      <c r="X12" s="168"/>
      <c r="Y12" s="168"/>
      <c r="Z12" s="168"/>
      <c r="AA12" s="197"/>
      <c r="AB12" s="197"/>
      <c r="AC12" s="197"/>
      <c r="AD12" s="168"/>
      <c r="AE12" s="168"/>
      <c r="AF12" s="168"/>
      <c r="AG12" s="198"/>
      <c r="AH12" s="168"/>
      <c r="AI12" s="168"/>
      <c r="AJ12" s="170"/>
      <c r="AK12" s="19">
        <v>14</v>
      </c>
      <c r="AL12" s="20">
        <v>65</v>
      </c>
      <c r="AM12" s="21">
        <v>4.6428571428571432</v>
      </c>
      <c r="AN12" s="20">
        <v>14</v>
      </c>
      <c r="AO12" s="20">
        <v>15</v>
      </c>
      <c r="AP12" s="20">
        <v>100</v>
      </c>
      <c r="AQ12" s="27">
        <v>56.785714285714278</v>
      </c>
      <c r="AR12" s="27">
        <v>3.9733380130549905</v>
      </c>
      <c r="AS12" s="27">
        <v>52.966666666666669</v>
      </c>
      <c r="AT12" s="21">
        <v>3.9285714285714284</v>
      </c>
      <c r="AU12" s="21">
        <v>0.40189190342779635</v>
      </c>
      <c r="AV12" s="21">
        <v>4.3330000000000002</v>
      </c>
      <c r="AW12" s="20">
        <v>100</v>
      </c>
      <c r="AX12" s="20">
        <v>76.118571428571428</v>
      </c>
      <c r="AY12" s="21">
        <v>2.2333890235716143</v>
      </c>
      <c r="AZ12" s="80">
        <v>73.938999999999993</v>
      </c>
    </row>
    <row r="13" spans="1:52" s="74" customFormat="1" ht="22.5" customHeight="1" x14ac:dyDescent="0.3">
      <c r="A13" s="252"/>
      <c r="B13" s="76" t="s">
        <v>51</v>
      </c>
      <c r="C13" s="75" t="s">
        <v>69</v>
      </c>
      <c r="D13" s="30" t="s">
        <v>73</v>
      </c>
      <c r="E13" s="83">
        <v>25</v>
      </c>
      <c r="F13" s="84">
        <v>159</v>
      </c>
      <c r="G13" s="85">
        <v>6.36</v>
      </c>
      <c r="H13" s="84">
        <v>24</v>
      </c>
      <c r="I13" s="84">
        <v>24</v>
      </c>
      <c r="J13" s="84">
        <v>100</v>
      </c>
      <c r="K13" s="86">
        <v>67.930500000000009</v>
      </c>
      <c r="L13" s="86">
        <v>3.1194823021346307</v>
      </c>
      <c r="M13" s="86">
        <v>64.783000000000001</v>
      </c>
      <c r="N13" s="85">
        <v>3.3471250000000001</v>
      </c>
      <c r="O13" s="85">
        <v>0.24501450849898576</v>
      </c>
      <c r="P13" s="85">
        <v>3.6669999999999998</v>
      </c>
      <c r="Q13" s="84">
        <v>100</v>
      </c>
      <c r="R13" s="85">
        <v>85.143125000000012</v>
      </c>
      <c r="S13" s="85">
        <v>1.6016972069359352</v>
      </c>
      <c r="T13" s="88">
        <v>83.631500000000003</v>
      </c>
      <c r="U13" s="83">
        <v>29</v>
      </c>
      <c r="V13" s="84">
        <v>106</v>
      </c>
      <c r="W13" s="85">
        <v>3.925925925925926</v>
      </c>
      <c r="X13" s="84">
        <v>27</v>
      </c>
      <c r="Y13" s="84">
        <v>27</v>
      </c>
      <c r="Z13" s="84">
        <v>100</v>
      </c>
      <c r="AA13" s="86">
        <v>63.777814814814803</v>
      </c>
      <c r="AB13" s="86">
        <v>3.7416200000758448</v>
      </c>
      <c r="AC13" s="86">
        <v>60.600300000000004</v>
      </c>
      <c r="AD13" s="85">
        <v>3.506148148148148</v>
      </c>
      <c r="AE13" s="85">
        <v>0.39712400581495078</v>
      </c>
      <c r="AF13" s="85">
        <v>4</v>
      </c>
      <c r="AG13" s="87">
        <v>100</v>
      </c>
      <c r="AH13" s="85">
        <v>83.201629629629622</v>
      </c>
      <c r="AI13" s="85">
        <v>2.1607518092884392</v>
      </c>
      <c r="AJ13" s="88">
        <v>81.547399999999996</v>
      </c>
      <c r="AK13" s="137"/>
      <c r="AL13" s="138"/>
      <c r="AM13" s="139"/>
      <c r="AN13" s="138"/>
      <c r="AO13" s="138"/>
      <c r="AP13" s="138"/>
      <c r="AQ13" s="138"/>
      <c r="AR13" s="138"/>
      <c r="AS13" s="204"/>
      <c r="AT13" s="138"/>
      <c r="AU13" s="138"/>
      <c r="AV13" s="204"/>
      <c r="AW13" s="138"/>
      <c r="AX13" s="138"/>
      <c r="AY13" s="138"/>
      <c r="AZ13" s="205"/>
    </row>
    <row r="14" spans="1:52" ht="22.5" customHeight="1" x14ac:dyDescent="0.3">
      <c r="A14" s="252"/>
      <c r="B14" s="77" t="s">
        <v>12</v>
      </c>
      <c r="C14" s="193"/>
      <c r="D14" s="194"/>
      <c r="E14" s="167"/>
      <c r="F14" s="168"/>
      <c r="G14" s="168"/>
      <c r="H14" s="168"/>
      <c r="I14" s="168"/>
      <c r="J14" s="168"/>
      <c r="K14" s="197"/>
      <c r="L14" s="197"/>
      <c r="M14" s="197"/>
      <c r="N14" s="168"/>
      <c r="O14" s="168"/>
      <c r="P14" s="168"/>
      <c r="Q14" s="168"/>
      <c r="R14" s="168"/>
      <c r="S14" s="168"/>
      <c r="T14" s="170"/>
      <c r="U14" s="167"/>
      <c r="V14" s="168"/>
      <c r="W14" s="168"/>
      <c r="X14" s="168"/>
      <c r="Y14" s="168"/>
      <c r="Z14" s="168"/>
      <c r="AA14" s="197"/>
      <c r="AB14" s="197"/>
      <c r="AC14" s="197"/>
      <c r="AD14" s="168"/>
      <c r="AE14" s="168"/>
      <c r="AF14" s="168"/>
      <c r="AG14" s="198"/>
      <c r="AH14" s="168"/>
      <c r="AI14" s="168"/>
      <c r="AJ14" s="170"/>
      <c r="AK14" s="19">
        <v>20</v>
      </c>
      <c r="AL14" s="20">
        <v>87</v>
      </c>
      <c r="AM14" s="21">
        <v>4.3499999999999996</v>
      </c>
      <c r="AN14" s="20">
        <v>20</v>
      </c>
      <c r="AO14" s="20">
        <v>31</v>
      </c>
      <c r="AP14" s="20">
        <v>100</v>
      </c>
      <c r="AQ14" s="27">
        <v>65.283333333333331</v>
      </c>
      <c r="AR14" s="27">
        <v>5.2591454734692791</v>
      </c>
      <c r="AS14" s="27">
        <v>59.516666666666666</v>
      </c>
      <c r="AT14" s="21">
        <v>3.5832499999999996</v>
      </c>
      <c r="AU14" s="21">
        <v>0.37826734923860766</v>
      </c>
      <c r="AV14" s="21">
        <v>4</v>
      </c>
      <c r="AW14" s="20">
        <v>100</v>
      </c>
      <c r="AX14" s="20">
        <v>83.22475</v>
      </c>
      <c r="AY14" s="21">
        <v>2.5833236706809699</v>
      </c>
      <c r="AZ14" s="80">
        <v>80.563500000000005</v>
      </c>
    </row>
    <row r="15" spans="1:52" ht="22.5" customHeight="1" x14ac:dyDescent="0.3">
      <c r="A15" s="252"/>
      <c r="B15" s="77" t="s">
        <v>13</v>
      </c>
      <c r="C15" s="193"/>
      <c r="D15" s="194"/>
      <c r="E15" s="167"/>
      <c r="F15" s="168"/>
      <c r="G15" s="168"/>
      <c r="H15" s="168"/>
      <c r="I15" s="168"/>
      <c r="J15" s="168"/>
      <c r="K15" s="197"/>
      <c r="L15" s="197"/>
      <c r="M15" s="197"/>
      <c r="N15" s="168"/>
      <c r="O15" s="168"/>
      <c r="P15" s="168"/>
      <c r="Q15" s="168"/>
      <c r="R15" s="168"/>
      <c r="S15" s="168"/>
      <c r="T15" s="170"/>
      <c r="U15" s="167"/>
      <c r="V15" s="168"/>
      <c r="W15" s="168"/>
      <c r="X15" s="168"/>
      <c r="Y15" s="168"/>
      <c r="Z15" s="168"/>
      <c r="AA15" s="197"/>
      <c r="AB15" s="197"/>
      <c r="AC15" s="197"/>
      <c r="AD15" s="168"/>
      <c r="AE15" s="168"/>
      <c r="AF15" s="168"/>
      <c r="AG15" s="198"/>
      <c r="AH15" s="168"/>
      <c r="AI15" s="168"/>
      <c r="AJ15" s="170"/>
      <c r="AK15" s="167"/>
      <c r="AL15" s="168"/>
      <c r="AM15" s="169"/>
      <c r="AN15" s="168"/>
      <c r="AO15" s="168"/>
      <c r="AP15" s="168"/>
      <c r="AQ15" s="197"/>
      <c r="AR15" s="197"/>
      <c r="AS15" s="197"/>
      <c r="AT15" s="169"/>
      <c r="AU15" s="169"/>
      <c r="AV15" s="169"/>
      <c r="AW15" s="168"/>
      <c r="AX15" s="168"/>
      <c r="AY15" s="169"/>
      <c r="AZ15" s="206"/>
    </row>
    <row r="16" spans="1:52" ht="22.5" customHeight="1" x14ac:dyDescent="0.3">
      <c r="A16" s="252"/>
      <c r="B16" s="77" t="s">
        <v>45</v>
      </c>
      <c r="C16" s="193"/>
      <c r="D16" s="194"/>
      <c r="E16" s="167"/>
      <c r="F16" s="168"/>
      <c r="G16" s="168"/>
      <c r="H16" s="168"/>
      <c r="I16" s="168"/>
      <c r="J16" s="168"/>
      <c r="K16" s="197"/>
      <c r="L16" s="197"/>
      <c r="M16" s="197"/>
      <c r="N16" s="168"/>
      <c r="O16" s="168"/>
      <c r="P16" s="168"/>
      <c r="Q16" s="168"/>
      <c r="R16" s="168"/>
      <c r="S16" s="168"/>
      <c r="T16" s="170"/>
      <c r="U16" s="167"/>
      <c r="V16" s="168"/>
      <c r="W16" s="168"/>
      <c r="X16" s="168"/>
      <c r="Y16" s="168"/>
      <c r="Z16" s="168"/>
      <c r="AA16" s="197"/>
      <c r="AB16" s="197"/>
      <c r="AC16" s="197"/>
      <c r="AD16" s="168"/>
      <c r="AE16" s="168"/>
      <c r="AF16" s="168"/>
      <c r="AG16" s="198"/>
      <c r="AH16" s="168"/>
      <c r="AI16" s="168"/>
      <c r="AJ16" s="170"/>
      <c r="AK16" s="19">
        <v>34</v>
      </c>
      <c r="AL16" s="20">
        <v>140</v>
      </c>
      <c r="AM16" s="21">
        <v>4.117647058823529</v>
      </c>
      <c r="AN16" s="20">
        <v>33</v>
      </c>
      <c r="AO16" s="20">
        <v>34</v>
      </c>
      <c r="AP16" s="20">
        <v>100</v>
      </c>
      <c r="AQ16" s="27">
        <v>64.383838383838395</v>
      </c>
      <c r="AR16" s="27">
        <v>5.1017401217794909</v>
      </c>
      <c r="AS16" s="27">
        <v>58.6</v>
      </c>
      <c r="AT16" s="21">
        <v>3.6666666666666665</v>
      </c>
      <c r="AU16" s="21">
        <v>0.35773332429776528</v>
      </c>
      <c r="AV16" s="21">
        <v>4</v>
      </c>
      <c r="AW16" s="20">
        <v>100</v>
      </c>
      <c r="AX16" s="20">
        <v>80.962575757575749</v>
      </c>
      <c r="AY16" s="21">
        <v>2.0355738232044951</v>
      </c>
      <c r="AZ16" s="80">
        <v>79.015999999999991</v>
      </c>
    </row>
    <row r="17" spans="1:52" s="74" customFormat="1" ht="22.5" customHeight="1" x14ac:dyDescent="0.3">
      <c r="A17" s="252"/>
      <c r="B17" s="76" t="s">
        <v>52</v>
      </c>
      <c r="C17" s="75" t="s">
        <v>69</v>
      </c>
      <c r="D17" s="30" t="s">
        <v>72</v>
      </c>
      <c r="E17" s="83">
        <v>11</v>
      </c>
      <c r="F17" s="84">
        <v>79</v>
      </c>
      <c r="G17" s="85">
        <v>7.1818181818181817</v>
      </c>
      <c r="H17" s="84">
        <v>11</v>
      </c>
      <c r="I17" s="84">
        <v>5</v>
      </c>
      <c r="J17" s="84">
        <v>100</v>
      </c>
      <c r="K17" s="86">
        <v>66.969636363636354</v>
      </c>
      <c r="L17" s="86">
        <v>3.7403569414679323</v>
      </c>
      <c r="M17" s="86">
        <v>62.666499999999999</v>
      </c>
      <c r="N17" s="85">
        <v>3.3029090909090901</v>
      </c>
      <c r="O17" s="85">
        <v>0.22275524870685506</v>
      </c>
      <c r="P17" s="85">
        <v>3.5</v>
      </c>
      <c r="Q17" s="84">
        <v>100</v>
      </c>
      <c r="R17" s="85">
        <v>84.742272727272734</v>
      </c>
      <c r="S17" s="85">
        <v>2.6177051396873803</v>
      </c>
      <c r="T17" s="88">
        <v>82.492999999999995</v>
      </c>
      <c r="U17" s="83">
        <v>26</v>
      </c>
      <c r="V17" s="84">
        <v>94</v>
      </c>
      <c r="W17" s="85">
        <v>3.76</v>
      </c>
      <c r="X17" s="84">
        <v>26</v>
      </c>
      <c r="Y17" s="84">
        <v>26</v>
      </c>
      <c r="Z17" s="84">
        <v>100</v>
      </c>
      <c r="AA17" s="86">
        <v>60.987230769230777</v>
      </c>
      <c r="AB17" s="86">
        <v>6.3747344035634743</v>
      </c>
      <c r="AC17" s="86">
        <v>54.500250000000001</v>
      </c>
      <c r="AD17" s="85">
        <v>3.7692692307692308</v>
      </c>
      <c r="AE17" s="85">
        <v>0.39270342032042571</v>
      </c>
      <c r="AF17" s="85">
        <v>4</v>
      </c>
      <c r="AG17" s="87">
        <v>100</v>
      </c>
      <c r="AH17" s="85">
        <v>80.593384615384608</v>
      </c>
      <c r="AI17" s="85">
        <v>1.9207857582235874</v>
      </c>
      <c r="AJ17" s="88">
        <v>78.305750000000003</v>
      </c>
      <c r="AK17" s="19">
        <v>31</v>
      </c>
      <c r="AL17" s="20">
        <v>120</v>
      </c>
      <c r="AM17" s="21">
        <v>3.870967741935484</v>
      </c>
      <c r="AN17" s="20">
        <v>31</v>
      </c>
      <c r="AO17" s="20">
        <v>31</v>
      </c>
      <c r="AP17" s="20">
        <v>100</v>
      </c>
      <c r="AQ17" s="27">
        <v>63.516129032258057</v>
      </c>
      <c r="AR17" s="27">
        <v>5.2825802249291698</v>
      </c>
      <c r="AS17" s="27">
        <v>59</v>
      </c>
      <c r="AT17" s="21">
        <v>3.6452258064516134</v>
      </c>
      <c r="AU17" s="21">
        <v>0.3045754008745532</v>
      </c>
      <c r="AV17" s="21">
        <v>4</v>
      </c>
      <c r="AW17" s="20">
        <v>100</v>
      </c>
      <c r="AX17" s="20">
        <v>80.497903225806425</v>
      </c>
      <c r="AY17" s="21">
        <v>1.9161098755433632</v>
      </c>
      <c r="AZ17" s="80">
        <v>78.665000000000006</v>
      </c>
    </row>
    <row r="18" spans="1:52" s="74" customFormat="1" ht="22.5" customHeight="1" x14ac:dyDescent="0.3">
      <c r="A18" s="252"/>
      <c r="B18" s="76" t="s">
        <v>53</v>
      </c>
      <c r="C18" s="75" t="s">
        <v>69</v>
      </c>
      <c r="D18" s="30" t="s">
        <v>73</v>
      </c>
      <c r="E18" s="83">
        <v>14</v>
      </c>
      <c r="F18" s="84">
        <v>101</v>
      </c>
      <c r="G18" s="85">
        <v>7.2142857142857144</v>
      </c>
      <c r="H18" s="84">
        <v>14</v>
      </c>
      <c r="I18" s="84">
        <v>11</v>
      </c>
      <c r="J18" s="84">
        <v>100</v>
      </c>
      <c r="K18" s="86">
        <v>66.095214285714277</v>
      </c>
      <c r="L18" s="86">
        <v>5.8491470828607843</v>
      </c>
      <c r="M18" s="86">
        <v>60.583649999999999</v>
      </c>
      <c r="N18" s="85">
        <v>3.4522857142857144</v>
      </c>
      <c r="O18" s="85">
        <v>0.16003857953249109</v>
      </c>
      <c r="P18" s="85">
        <v>3.6669999999999998</v>
      </c>
      <c r="Q18" s="84">
        <v>100</v>
      </c>
      <c r="R18" s="85">
        <v>82.42714285714284</v>
      </c>
      <c r="S18" s="85">
        <v>1.4951635293823922</v>
      </c>
      <c r="T18" s="88">
        <v>80.754050000000007</v>
      </c>
      <c r="U18" s="83">
        <v>24</v>
      </c>
      <c r="V18" s="84">
        <v>105</v>
      </c>
      <c r="W18" s="85">
        <v>4.7727272727272725</v>
      </c>
      <c r="X18" s="84">
        <v>24</v>
      </c>
      <c r="Y18" s="84">
        <v>23</v>
      </c>
      <c r="Z18" s="84">
        <v>100</v>
      </c>
      <c r="AA18" s="86">
        <v>61.458333333333343</v>
      </c>
      <c r="AB18" s="86">
        <v>5.7973353625225368</v>
      </c>
      <c r="AC18" s="86">
        <v>54.966700000000003</v>
      </c>
      <c r="AD18" s="85">
        <v>3.9167083333333337</v>
      </c>
      <c r="AE18" s="85">
        <v>0.37842045390088991</v>
      </c>
      <c r="AF18" s="85">
        <v>4.1831500000000004</v>
      </c>
      <c r="AG18" s="87">
        <v>100</v>
      </c>
      <c r="AH18" s="85">
        <v>78.774375000000006</v>
      </c>
      <c r="AI18" s="85">
        <v>1.5375745459565995</v>
      </c>
      <c r="AJ18" s="88">
        <v>76.978350000000006</v>
      </c>
      <c r="AK18" s="137"/>
      <c r="AL18" s="138"/>
      <c r="AM18" s="139"/>
      <c r="AN18" s="138"/>
      <c r="AO18" s="138"/>
      <c r="AP18" s="138"/>
      <c r="AQ18" s="138"/>
      <c r="AR18" s="138"/>
      <c r="AS18" s="204"/>
      <c r="AT18" s="138"/>
      <c r="AU18" s="138"/>
      <c r="AV18" s="204"/>
      <c r="AW18" s="138"/>
      <c r="AX18" s="138"/>
      <c r="AY18" s="138"/>
      <c r="AZ18" s="205"/>
    </row>
    <row r="19" spans="1:52" ht="22.5" customHeight="1" x14ac:dyDescent="0.3">
      <c r="A19" s="252"/>
      <c r="B19" s="77" t="s">
        <v>46</v>
      </c>
      <c r="C19" s="193"/>
      <c r="D19" s="194"/>
      <c r="E19" s="167"/>
      <c r="F19" s="168"/>
      <c r="G19" s="168"/>
      <c r="H19" s="168"/>
      <c r="I19" s="168"/>
      <c r="J19" s="168"/>
      <c r="K19" s="197"/>
      <c r="L19" s="197"/>
      <c r="M19" s="197"/>
      <c r="N19" s="168"/>
      <c r="O19" s="168"/>
      <c r="P19" s="168"/>
      <c r="Q19" s="168"/>
      <c r="R19" s="168"/>
      <c r="S19" s="168"/>
      <c r="T19" s="170"/>
      <c r="U19" s="167"/>
      <c r="V19" s="168"/>
      <c r="W19" s="168"/>
      <c r="X19" s="168"/>
      <c r="Y19" s="168"/>
      <c r="Z19" s="168"/>
      <c r="AA19" s="197"/>
      <c r="AB19" s="197"/>
      <c r="AC19" s="197"/>
      <c r="AD19" s="168"/>
      <c r="AE19" s="168"/>
      <c r="AF19" s="168"/>
      <c r="AG19" s="198"/>
      <c r="AH19" s="168"/>
      <c r="AI19" s="168"/>
      <c r="AJ19" s="170"/>
      <c r="AK19" s="19">
        <v>35</v>
      </c>
      <c r="AL19" s="20">
        <v>121</v>
      </c>
      <c r="AM19" s="21">
        <v>3.5588235294117645</v>
      </c>
      <c r="AN19" s="20">
        <v>35</v>
      </c>
      <c r="AO19" s="20">
        <v>37</v>
      </c>
      <c r="AP19" s="20">
        <v>100</v>
      </c>
      <c r="AQ19" s="27">
        <v>60.019047619047612</v>
      </c>
      <c r="AR19" s="27">
        <v>6.3899439136782972</v>
      </c>
      <c r="AS19" s="27">
        <v>53.4</v>
      </c>
      <c r="AT19" s="21">
        <v>3.9238571428571429</v>
      </c>
      <c r="AU19" s="21">
        <v>0.28814531481351474</v>
      </c>
      <c r="AV19" s="21">
        <v>4.2996999999999996</v>
      </c>
      <c r="AW19" s="20">
        <v>100</v>
      </c>
      <c r="AX19" s="20">
        <v>77.510857142857162</v>
      </c>
      <c r="AY19" s="21">
        <v>2.4499033466975</v>
      </c>
      <c r="AZ19" s="80">
        <v>74.585000000000008</v>
      </c>
    </row>
    <row r="20" spans="1:52" ht="22.5" customHeight="1" x14ac:dyDescent="0.3">
      <c r="A20" s="252"/>
      <c r="B20" s="77" t="s">
        <v>21</v>
      </c>
      <c r="C20" s="193"/>
      <c r="D20" s="194"/>
      <c r="E20" s="167"/>
      <c r="F20" s="168"/>
      <c r="G20" s="168"/>
      <c r="H20" s="168"/>
      <c r="I20" s="168"/>
      <c r="J20" s="168"/>
      <c r="K20" s="197"/>
      <c r="L20" s="197"/>
      <c r="M20" s="197"/>
      <c r="N20" s="168"/>
      <c r="O20" s="168"/>
      <c r="P20" s="168"/>
      <c r="Q20" s="168"/>
      <c r="R20" s="168"/>
      <c r="S20" s="168"/>
      <c r="T20" s="170"/>
      <c r="U20" s="167"/>
      <c r="V20" s="168"/>
      <c r="W20" s="168"/>
      <c r="X20" s="168"/>
      <c r="Y20" s="168"/>
      <c r="Z20" s="168"/>
      <c r="AA20" s="197"/>
      <c r="AB20" s="197"/>
      <c r="AC20" s="197"/>
      <c r="AD20" s="168"/>
      <c r="AE20" s="168"/>
      <c r="AF20" s="168"/>
      <c r="AG20" s="198"/>
      <c r="AH20" s="168"/>
      <c r="AI20" s="168"/>
      <c r="AJ20" s="170"/>
      <c r="AK20" s="19">
        <v>18</v>
      </c>
      <c r="AL20" s="20">
        <v>87</v>
      </c>
      <c r="AM20" s="21">
        <v>4.833333333333333</v>
      </c>
      <c r="AN20" s="20">
        <v>17</v>
      </c>
      <c r="AO20" s="20">
        <v>23</v>
      </c>
      <c r="AP20" s="20">
        <v>100</v>
      </c>
      <c r="AQ20" s="27">
        <v>60.941176470588232</v>
      </c>
      <c r="AR20" s="27">
        <v>5.8244866183682689</v>
      </c>
      <c r="AS20" s="27">
        <v>54.8</v>
      </c>
      <c r="AT20" s="21">
        <v>3.8235294117647061</v>
      </c>
      <c r="AU20" s="21">
        <v>0.36359950780511763</v>
      </c>
      <c r="AV20" s="21">
        <v>4.1997999999999998</v>
      </c>
      <c r="AW20" s="20">
        <v>100</v>
      </c>
      <c r="AX20" s="20">
        <v>78.895588235294113</v>
      </c>
      <c r="AY20" s="21">
        <v>1.8345947479689964</v>
      </c>
      <c r="AZ20" s="80">
        <v>76.608000000000004</v>
      </c>
    </row>
    <row r="21" spans="1:52" s="74" customFormat="1" ht="22.5" customHeight="1" x14ac:dyDescent="0.3">
      <c r="A21" s="252"/>
      <c r="B21" s="76" t="s">
        <v>54</v>
      </c>
      <c r="C21" s="75" t="s">
        <v>69</v>
      </c>
      <c r="D21" s="30" t="s">
        <v>73</v>
      </c>
      <c r="E21" s="83">
        <v>18</v>
      </c>
      <c r="F21" s="84">
        <v>109</v>
      </c>
      <c r="G21" s="85">
        <v>6.0555555555555554</v>
      </c>
      <c r="H21" s="84">
        <v>18</v>
      </c>
      <c r="I21" s="84">
        <v>13</v>
      </c>
      <c r="J21" s="84">
        <v>100</v>
      </c>
      <c r="K21" s="86">
        <v>65.666611111111095</v>
      </c>
      <c r="L21" s="86">
        <v>3.2735566138867362</v>
      </c>
      <c r="M21" s="86">
        <v>61.699849999999998</v>
      </c>
      <c r="N21" s="85">
        <v>3.4814444444444441</v>
      </c>
      <c r="O21" s="85">
        <v>0.22852503442298575</v>
      </c>
      <c r="P21" s="85">
        <v>3.6669999999999998</v>
      </c>
      <c r="Q21" s="84">
        <v>100</v>
      </c>
      <c r="R21" s="85">
        <v>81.961888888888893</v>
      </c>
      <c r="S21" s="85">
        <v>1.3136002642810038</v>
      </c>
      <c r="T21" s="88">
        <v>80.992549999999994</v>
      </c>
      <c r="U21" s="83">
        <v>41</v>
      </c>
      <c r="V21" s="84">
        <v>169</v>
      </c>
      <c r="W21" s="85">
        <v>4.4473684210526319</v>
      </c>
      <c r="X21" s="84">
        <v>41</v>
      </c>
      <c r="Y21" s="84">
        <v>37</v>
      </c>
      <c r="Z21" s="84">
        <v>100</v>
      </c>
      <c r="AA21" s="86">
        <v>60.349609756097571</v>
      </c>
      <c r="AB21" s="86">
        <v>4.7128781267875777</v>
      </c>
      <c r="AC21" s="86">
        <v>54.667000000000002</v>
      </c>
      <c r="AD21" s="85">
        <v>3.8131219512195127</v>
      </c>
      <c r="AE21" s="85">
        <v>0.28035521786762557</v>
      </c>
      <c r="AF21" s="85">
        <v>4</v>
      </c>
      <c r="AG21" s="87">
        <v>100</v>
      </c>
      <c r="AH21" s="85">
        <v>78.558560975609737</v>
      </c>
      <c r="AI21" s="85">
        <v>1.6839167473891898</v>
      </c>
      <c r="AJ21" s="88">
        <v>77.19</v>
      </c>
      <c r="AK21" s="137"/>
      <c r="AL21" s="138"/>
      <c r="AM21" s="139"/>
      <c r="AN21" s="138"/>
      <c r="AO21" s="138"/>
      <c r="AP21" s="138"/>
      <c r="AQ21" s="138"/>
      <c r="AR21" s="138"/>
      <c r="AS21" s="204"/>
      <c r="AT21" s="138"/>
      <c r="AU21" s="138"/>
      <c r="AV21" s="204"/>
      <c r="AW21" s="138"/>
      <c r="AX21" s="138"/>
      <c r="AY21" s="138"/>
      <c r="AZ21" s="205"/>
    </row>
    <row r="22" spans="1:52" ht="22.5" customHeight="1" x14ac:dyDescent="0.3">
      <c r="A22" s="252"/>
      <c r="B22" s="77" t="s">
        <v>33</v>
      </c>
      <c r="C22" s="193"/>
      <c r="D22" s="194"/>
      <c r="E22" s="167"/>
      <c r="F22" s="168"/>
      <c r="G22" s="168"/>
      <c r="H22" s="168"/>
      <c r="I22" s="168"/>
      <c r="J22" s="168"/>
      <c r="K22" s="197"/>
      <c r="L22" s="197"/>
      <c r="M22" s="197"/>
      <c r="N22" s="168"/>
      <c r="O22" s="168"/>
      <c r="P22" s="168"/>
      <c r="Q22" s="168"/>
      <c r="R22" s="168"/>
      <c r="S22" s="168"/>
      <c r="T22" s="170"/>
      <c r="U22" s="167"/>
      <c r="V22" s="168"/>
      <c r="W22" s="168"/>
      <c r="X22" s="168"/>
      <c r="Y22" s="168"/>
      <c r="Z22" s="168"/>
      <c r="AA22" s="197"/>
      <c r="AB22" s="197"/>
      <c r="AC22" s="197"/>
      <c r="AD22" s="168"/>
      <c r="AE22" s="168"/>
      <c r="AF22" s="168"/>
      <c r="AG22" s="198"/>
      <c r="AH22" s="168"/>
      <c r="AI22" s="168"/>
      <c r="AJ22" s="170"/>
      <c r="AK22" s="19">
        <v>11</v>
      </c>
      <c r="AL22" s="20">
        <v>37</v>
      </c>
      <c r="AM22" s="21">
        <v>3.3636363636363638</v>
      </c>
      <c r="AN22" s="20">
        <v>10</v>
      </c>
      <c r="AO22" s="20">
        <v>18</v>
      </c>
      <c r="AP22" s="20">
        <v>100</v>
      </c>
      <c r="AQ22" s="27">
        <v>53.766666666666673</v>
      </c>
      <c r="AR22" s="27">
        <v>9.3595465227280155</v>
      </c>
      <c r="AS22" s="27">
        <v>45</v>
      </c>
      <c r="AT22" s="21">
        <v>4.2333000000000007</v>
      </c>
      <c r="AU22" s="21">
        <v>0.61544391296038936</v>
      </c>
      <c r="AV22" s="21">
        <v>4.8834499999999998</v>
      </c>
      <c r="AW22" s="20">
        <v>100</v>
      </c>
      <c r="AX22" s="20">
        <v>71.336500000000001</v>
      </c>
      <c r="AY22" s="21">
        <v>6.1966212769541471</v>
      </c>
      <c r="AZ22" s="80">
        <v>64.914500000000004</v>
      </c>
    </row>
    <row r="23" spans="1:52" ht="22.5" customHeight="1" x14ac:dyDescent="0.3">
      <c r="A23" s="252"/>
      <c r="B23" s="77" t="s">
        <v>15</v>
      </c>
      <c r="C23" s="193"/>
      <c r="D23" s="194"/>
      <c r="E23" s="167"/>
      <c r="F23" s="168"/>
      <c r="G23" s="168"/>
      <c r="H23" s="168"/>
      <c r="I23" s="168"/>
      <c r="J23" s="168"/>
      <c r="K23" s="197"/>
      <c r="L23" s="197"/>
      <c r="M23" s="197"/>
      <c r="N23" s="168"/>
      <c r="O23" s="168"/>
      <c r="P23" s="168"/>
      <c r="Q23" s="168"/>
      <c r="R23" s="168"/>
      <c r="S23" s="168"/>
      <c r="T23" s="170"/>
      <c r="U23" s="167"/>
      <c r="V23" s="168"/>
      <c r="W23" s="168"/>
      <c r="X23" s="168"/>
      <c r="Y23" s="168"/>
      <c r="Z23" s="168"/>
      <c r="AA23" s="197"/>
      <c r="AB23" s="197"/>
      <c r="AC23" s="197"/>
      <c r="AD23" s="168"/>
      <c r="AE23" s="168"/>
      <c r="AF23" s="168"/>
      <c r="AG23" s="198"/>
      <c r="AH23" s="168"/>
      <c r="AI23" s="168"/>
      <c r="AJ23" s="170"/>
      <c r="AK23" s="19">
        <v>33</v>
      </c>
      <c r="AL23" s="20">
        <v>114</v>
      </c>
      <c r="AM23" s="21">
        <v>3.4545454545454546</v>
      </c>
      <c r="AN23" s="20">
        <v>33</v>
      </c>
      <c r="AO23" s="20">
        <v>41</v>
      </c>
      <c r="AP23" s="20">
        <v>100</v>
      </c>
      <c r="AQ23" s="27">
        <v>60.737373737373723</v>
      </c>
      <c r="AR23" s="27">
        <v>4.9616424833969068</v>
      </c>
      <c r="AS23" s="27">
        <v>54.93333333333333</v>
      </c>
      <c r="AT23" s="21">
        <v>3.6869090909090909</v>
      </c>
      <c r="AU23" s="21">
        <v>0.36649365314577892</v>
      </c>
      <c r="AV23" s="21">
        <v>4</v>
      </c>
      <c r="AW23" s="20">
        <v>100</v>
      </c>
      <c r="AX23" s="20">
        <v>79.788181818181812</v>
      </c>
      <c r="AY23" s="21">
        <v>2.7192918580703753</v>
      </c>
      <c r="AZ23" s="80">
        <v>76.816000000000003</v>
      </c>
    </row>
    <row r="24" spans="1:52" s="74" customFormat="1" ht="22.5" customHeight="1" x14ac:dyDescent="0.3">
      <c r="A24" s="252"/>
      <c r="B24" s="76" t="s">
        <v>55</v>
      </c>
      <c r="C24" s="75" t="s">
        <v>69</v>
      </c>
      <c r="D24" s="30" t="s">
        <v>72</v>
      </c>
      <c r="E24" s="83">
        <v>27</v>
      </c>
      <c r="F24" s="84">
        <v>138</v>
      </c>
      <c r="G24" s="85">
        <v>5.1111111111111107</v>
      </c>
      <c r="H24" s="84">
        <v>27</v>
      </c>
      <c r="I24" s="84">
        <v>18</v>
      </c>
      <c r="J24" s="84">
        <v>100</v>
      </c>
      <c r="K24" s="86">
        <v>71.851814814814816</v>
      </c>
      <c r="L24" s="86">
        <v>6.0704268691019028</v>
      </c>
      <c r="M24" s="86">
        <v>64.866699999999994</v>
      </c>
      <c r="N24" s="85">
        <v>3.1234074074074072</v>
      </c>
      <c r="O24" s="85">
        <v>0.39697040278322338</v>
      </c>
      <c r="P24" s="85">
        <v>3.3663999999999996</v>
      </c>
      <c r="Q24" s="84">
        <v>100</v>
      </c>
      <c r="R24" s="85">
        <v>87.180296296296291</v>
      </c>
      <c r="S24" s="85">
        <v>2.9139610030034966</v>
      </c>
      <c r="T24" s="88">
        <v>84.752300000000005</v>
      </c>
      <c r="U24" s="83">
        <v>28</v>
      </c>
      <c r="V24" s="84">
        <v>114</v>
      </c>
      <c r="W24" s="85">
        <v>4.384615384615385</v>
      </c>
      <c r="X24" s="84">
        <v>28</v>
      </c>
      <c r="Y24" s="84">
        <v>22</v>
      </c>
      <c r="Z24" s="84">
        <v>100</v>
      </c>
      <c r="AA24" s="86">
        <v>68.047535714285729</v>
      </c>
      <c r="AB24" s="86">
        <v>7.1128942244857978</v>
      </c>
      <c r="AC24" s="86">
        <v>61.366349999999997</v>
      </c>
      <c r="AD24" s="85">
        <v>3.261821428571428</v>
      </c>
      <c r="AE24" s="85">
        <v>0.51975867020676247</v>
      </c>
      <c r="AF24" s="85">
        <v>3.6502999999999997</v>
      </c>
      <c r="AG24" s="87">
        <v>100</v>
      </c>
      <c r="AH24" s="85">
        <v>86.468678571428583</v>
      </c>
      <c r="AI24" s="85">
        <v>2.0288557481203053</v>
      </c>
      <c r="AJ24" s="88">
        <v>84.565799999999996</v>
      </c>
      <c r="AK24" s="19">
        <v>52</v>
      </c>
      <c r="AL24" s="20">
        <v>165</v>
      </c>
      <c r="AM24" s="21">
        <v>3.3</v>
      </c>
      <c r="AN24" s="20">
        <v>52</v>
      </c>
      <c r="AO24" s="20">
        <v>31</v>
      </c>
      <c r="AP24" s="20">
        <v>100</v>
      </c>
      <c r="AQ24" s="27">
        <v>66.019230769230759</v>
      </c>
      <c r="AR24" s="27">
        <v>6.6130580037092983</v>
      </c>
      <c r="AS24" s="27">
        <v>59.216666666666669</v>
      </c>
      <c r="AT24" s="21">
        <v>3.4102115384615383</v>
      </c>
      <c r="AU24" s="21">
        <v>0.34978027919397253</v>
      </c>
      <c r="AV24" s="21">
        <v>3.6669999999999998</v>
      </c>
      <c r="AW24" s="20">
        <v>100</v>
      </c>
      <c r="AX24" s="20">
        <v>84.872211538461528</v>
      </c>
      <c r="AY24" s="21">
        <v>2.4701684412869667</v>
      </c>
      <c r="AZ24" s="80">
        <v>82.790499999999994</v>
      </c>
    </row>
    <row r="25" spans="1:52" s="74" customFormat="1" ht="22.5" customHeight="1" x14ac:dyDescent="0.3">
      <c r="A25" s="252"/>
      <c r="B25" s="76" t="s">
        <v>56</v>
      </c>
      <c r="C25" s="75" t="s">
        <v>69</v>
      </c>
      <c r="D25" s="30" t="s">
        <v>72</v>
      </c>
      <c r="E25" s="83">
        <v>20</v>
      </c>
      <c r="F25" s="84">
        <v>88</v>
      </c>
      <c r="G25" s="85">
        <v>4.4000000000000004</v>
      </c>
      <c r="H25" s="84">
        <v>19</v>
      </c>
      <c r="I25" s="84">
        <v>10</v>
      </c>
      <c r="J25" s="84">
        <v>100</v>
      </c>
      <c r="K25" s="86">
        <v>65</v>
      </c>
      <c r="L25" s="86">
        <v>4.8810733720317847</v>
      </c>
      <c r="M25" s="86">
        <v>60.033000000000001</v>
      </c>
      <c r="N25" s="85">
        <v>3.544</v>
      </c>
      <c r="O25" s="85">
        <v>0.29052239699874299</v>
      </c>
      <c r="P25" s="85">
        <v>3.6669999999999998</v>
      </c>
      <c r="Q25" s="84">
        <v>100</v>
      </c>
      <c r="R25" s="85">
        <v>82.35742105263158</v>
      </c>
      <c r="S25" s="85">
        <v>1.6738213548579557</v>
      </c>
      <c r="T25" s="88">
        <v>81.097999999999999</v>
      </c>
      <c r="U25" s="83">
        <v>16</v>
      </c>
      <c r="V25" s="84">
        <v>67</v>
      </c>
      <c r="W25" s="85">
        <v>4.1875</v>
      </c>
      <c r="X25" s="84">
        <v>16</v>
      </c>
      <c r="Y25" s="84">
        <v>20</v>
      </c>
      <c r="Z25" s="84">
        <v>100</v>
      </c>
      <c r="AA25" s="86">
        <v>68.062374999999989</v>
      </c>
      <c r="AB25" s="86">
        <v>6.7424709850600291</v>
      </c>
      <c r="AC25" s="86">
        <v>62.000250000000001</v>
      </c>
      <c r="AD25" s="85">
        <v>3.4583750000000002</v>
      </c>
      <c r="AE25" s="85">
        <v>0.46868489131158259</v>
      </c>
      <c r="AF25" s="85">
        <v>3.6669999999999998</v>
      </c>
      <c r="AG25" s="87">
        <v>100</v>
      </c>
      <c r="AH25" s="85">
        <v>83.722499999999997</v>
      </c>
      <c r="AI25" s="85">
        <v>2.9151625169106254</v>
      </c>
      <c r="AJ25" s="88">
        <v>80.228999999999999</v>
      </c>
      <c r="AK25" s="137"/>
      <c r="AL25" s="138"/>
      <c r="AM25" s="139"/>
      <c r="AN25" s="138"/>
      <c r="AO25" s="138"/>
      <c r="AP25" s="138"/>
      <c r="AQ25" s="138"/>
      <c r="AR25" s="138"/>
      <c r="AS25" s="204"/>
      <c r="AT25" s="138"/>
      <c r="AU25" s="138"/>
      <c r="AV25" s="204"/>
      <c r="AW25" s="138"/>
      <c r="AX25" s="138"/>
      <c r="AY25" s="138"/>
      <c r="AZ25" s="205"/>
    </row>
    <row r="26" spans="1:52" ht="22.5" customHeight="1" x14ac:dyDescent="0.3">
      <c r="A26" s="252"/>
      <c r="B26" s="77" t="s">
        <v>17</v>
      </c>
      <c r="C26" s="193"/>
      <c r="D26" s="194"/>
      <c r="E26" s="167"/>
      <c r="F26" s="168"/>
      <c r="G26" s="168"/>
      <c r="H26" s="168"/>
      <c r="I26" s="168"/>
      <c r="J26" s="168"/>
      <c r="K26" s="197"/>
      <c r="L26" s="197"/>
      <c r="M26" s="197"/>
      <c r="N26" s="168"/>
      <c r="O26" s="168"/>
      <c r="P26" s="168"/>
      <c r="Q26" s="168"/>
      <c r="R26" s="168"/>
      <c r="S26" s="168"/>
      <c r="T26" s="170"/>
      <c r="U26" s="167"/>
      <c r="V26" s="168"/>
      <c r="W26" s="168"/>
      <c r="X26" s="168"/>
      <c r="Y26" s="168"/>
      <c r="Z26" s="168"/>
      <c r="AA26" s="197"/>
      <c r="AB26" s="197"/>
      <c r="AC26" s="197"/>
      <c r="AD26" s="168"/>
      <c r="AE26" s="168"/>
      <c r="AF26" s="168"/>
      <c r="AG26" s="198"/>
      <c r="AH26" s="168"/>
      <c r="AI26" s="168"/>
      <c r="AJ26" s="170"/>
      <c r="AK26" s="19">
        <v>14</v>
      </c>
      <c r="AL26" s="20">
        <v>46</v>
      </c>
      <c r="AM26" s="21">
        <v>3.5384615384615383</v>
      </c>
      <c r="AN26" s="20">
        <v>14</v>
      </c>
      <c r="AO26" s="20">
        <v>15</v>
      </c>
      <c r="AP26" s="20">
        <v>100</v>
      </c>
      <c r="AQ26" s="27">
        <v>66.023809523809533</v>
      </c>
      <c r="AR26" s="27">
        <v>4.4229995670435729</v>
      </c>
      <c r="AS26" s="27">
        <v>63.1</v>
      </c>
      <c r="AT26" s="21">
        <v>3.4287142857142863</v>
      </c>
      <c r="AU26" s="21">
        <v>0.31954486127512999</v>
      </c>
      <c r="AV26" s="21">
        <v>3.6669999999999998</v>
      </c>
      <c r="AW26" s="20">
        <v>100</v>
      </c>
      <c r="AX26" s="20">
        <v>84.197857142857146</v>
      </c>
      <c r="AY26" s="21">
        <v>3.3263647651786434</v>
      </c>
      <c r="AZ26" s="80">
        <v>79.500500000000002</v>
      </c>
    </row>
    <row r="27" spans="1:52" ht="22.5" customHeight="1" x14ac:dyDescent="0.3">
      <c r="A27" s="252"/>
      <c r="B27" s="77" t="s">
        <v>18</v>
      </c>
      <c r="C27" s="193"/>
      <c r="D27" s="194"/>
      <c r="E27" s="167"/>
      <c r="F27" s="168"/>
      <c r="G27" s="168"/>
      <c r="H27" s="168"/>
      <c r="I27" s="168"/>
      <c r="J27" s="168"/>
      <c r="K27" s="197"/>
      <c r="L27" s="197"/>
      <c r="M27" s="197"/>
      <c r="N27" s="168"/>
      <c r="O27" s="168"/>
      <c r="P27" s="168"/>
      <c r="Q27" s="168"/>
      <c r="R27" s="168"/>
      <c r="S27" s="168"/>
      <c r="T27" s="170"/>
      <c r="U27" s="167"/>
      <c r="V27" s="168"/>
      <c r="W27" s="168"/>
      <c r="X27" s="168"/>
      <c r="Y27" s="168"/>
      <c r="Z27" s="168"/>
      <c r="AA27" s="197"/>
      <c r="AB27" s="197"/>
      <c r="AC27" s="197"/>
      <c r="AD27" s="168"/>
      <c r="AE27" s="168"/>
      <c r="AF27" s="168"/>
      <c r="AG27" s="198"/>
      <c r="AH27" s="168"/>
      <c r="AI27" s="168"/>
      <c r="AJ27" s="170"/>
      <c r="AK27" s="19">
        <v>12</v>
      </c>
      <c r="AL27" s="20">
        <v>59</v>
      </c>
      <c r="AM27" s="21">
        <v>4.916666666666667</v>
      </c>
      <c r="AN27" s="20">
        <v>11</v>
      </c>
      <c r="AO27" s="20">
        <v>6</v>
      </c>
      <c r="AP27" s="20">
        <v>100</v>
      </c>
      <c r="AQ27" s="27">
        <v>67.242424242424249</v>
      </c>
      <c r="AR27" s="27">
        <v>4.1489706867381217</v>
      </c>
      <c r="AS27" s="27">
        <v>62.166666666666664</v>
      </c>
      <c r="AT27" s="21">
        <v>3.3636363636363638</v>
      </c>
      <c r="AU27" s="21">
        <v>0.3880422359222036</v>
      </c>
      <c r="AV27" s="21">
        <v>3.6669999999999998</v>
      </c>
      <c r="AW27" s="20">
        <v>100</v>
      </c>
      <c r="AX27" s="20">
        <v>85.086818181818188</v>
      </c>
      <c r="AY27" s="21">
        <v>1.6716571428688318</v>
      </c>
      <c r="AZ27" s="80">
        <v>83.78</v>
      </c>
    </row>
    <row r="28" spans="1:52" s="74" customFormat="1" ht="22.5" customHeight="1" x14ac:dyDescent="0.3">
      <c r="A28" s="252"/>
      <c r="B28" s="76" t="s">
        <v>57</v>
      </c>
      <c r="C28" s="195"/>
      <c r="D28" s="196"/>
      <c r="E28" s="199"/>
      <c r="F28" s="200"/>
      <c r="G28" s="178"/>
      <c r="H28" s="200"/>
      <c r="I28" s="200"/>
      <c r="J28" s="200"/>
      <c r="K28" s="201"/>
      <c r="L28" s="201"/>
      <c r="M28" s="201"/>
      <c r="N28" s="178"/>
      <c r="O28" s="178"/>
      <c r="P28" s="178"/>
      <c r="Q28" s="200"/>
      <c r="R28" s="178"/>
      <c r="S28" s="178"/>
      <c r="T28" s="180"/>
      <c r="U28" s="83">
        <v>11</v>
      </c>
      <c r="V28" s="84">
        <v>47</v>
      </c>
      <c r="W28" s="85">
        <v>4.7</v>
      </c>
      <c r="X28" s="84">
        <v>11</v>
      </c>
      <c r="Y28" s="84">
        <v>18</v>
      </c>
      <c r="Z28" s="84">
        <v>100</v>
      </c>
      <c r="AA28" s="86">
        <v>67.12118181818181</v>
      </c>
      <c r="AB28" s="86">
        <v>3.4414675468518356</v>
      </c>
      <c r="AC28" s="86">
        <v>63.5</v>
      </c>
      <c r="AD28" s="85">
        <v>3.4243636363636365</v>
      </c>
      <c r="AE28" s="85">
        <v>0.37067060068863839</v>
      </c>
      <c r="AF28" s="85">
        <v>4</v>
      </c>
      <c r="AG28" s="87">
        <v>100</v>
      </c>
      <c r="AH28" s="85">
        <v>84.018454545454546</v>
      </c>
      <c r="AI28" s="85">
        <v>3.2150280746303355</v>
      </c>
      <c r="AJ28" s="88">
        <v>81.444500000000005</v>
      </c>
      <c r="AK28" s="19">
        <v>10</v>
      </c>
      <c r="AL28" s="20">
        <v>33</v>
      </c>
      <c r="AM28" s="21">
        <v>3.6666666666666665</v>
      </c>
      <c r="AN28" s="20">
        <v>10</v>
      </c>
      <c r="AO28" s="20">
        <v>10</v>
      </c>
      <c r="AP28" s="20">
        <v>100</v>
      </c>
      <c r="AQ28" s="27">
        <v>66.166666666666671</v>
      </c>
      <c r="AR28" s="27">
        <v>4.2511436369783269</v>
      </c>
      <c r="AS28" s="27">
        <v>62.333333333333336</v>
      </c>
      <c r="AT28" s="21">
        <v>3.6000999999999999</v>
      </c>
      <c r="AU28" s="21">
        <v>0.29069277596803578</v>
      </c>
      <c r="AV28" s="21">
        <v>3.8834499999999994</v>
      </c>
      <c r="AW28" s="20">
        <v>100</v>
      </c>
      <c r="AX28" s="20">
        <v>84.591499999999996</v>
      </c>
      <c r="AY28" s="21">
        <v>2.3400694968314548</v>
      </c>
      <c r="AZ28" s="80">
        <v>82.53</v>
      </c>
    </row>
    <row r="29" spans="1:52" s="74" customFormat="1" ht="22.5" customHeight="1" x14ac:dyDescent="0.3">
      <c r="A29" s="252"/>
      <c r="B29" s="76" t="s">
        <v>58</v>
      </c>
      <c r="C29" s="75" t="s">
        <v>69</v>
      </c>
      <c r="D29" s="30" t="s">
        <v>73</v>
      </c>
      <c r="E29" s="83">
        <v>19</v>
      </c>
      <c r="F29" s="84">
        <v>153</v>
      </c>
      <c r="G29" s="85">
        <v>8.0526315789473681</v>
      </c>
      <c r="H29" s="84">
        <v>19</v>
      </c>
      <c r="I29" s="84">
        <v>12</v>
      </c>
      <c r="J29" s="84">
        <v>100</v>
      </c>
      <c r="K29" s="86">
        <v>64.89473684210526</v>
      </c>
      <c r="L29" s="86">
        <v>5.3355594472330479</v>
      </c>
      <c r="M29" s="86">
        <v>59.1999</v>
      </c>
      <c r="N29" s="85">
        <v>3.5438947368421045</v>
      </c>
      <c r="O29" s="85">
        <v>0.29053831973676586</v>
      </c>
      <c r="P29" s="85">
        <v>3.7668999999999988</v>
      </c>
      <c r="Q29" s="84">
        <v>100</v>
      </c>
      <c r="R29" s="85">
        <v>81.968157894736848</v>
      </c>
      <c r="S29" s="85">
        <v>1.2879541207559522</v>
      </c>
      <c r="T29" s="88">
        <v>80.992699999999999</v>
      </c>
      <c r="U29" s="83">
        <v>36</v>
      </c>
      <c r="V29" s="84">
        <v>144</v>
      </c>
      <c r="W29" s="85">
        <v>4.1142857142857139</v>
      </c>
      <c r="X29" s="84">
        <v>36</v>
      </c>
      <c r="Y29" s="84">
        <v>26</v>
      </c>
      <c r="Z29" s="84">
        <v>100</v>
      </c>
      <c r="AA29" s="86">
        <v>60.018499999999989</v>
      </c>
      <c r="AB29" s="86">
        <v>5.446005766206647</v>
      </c>
      <c r="AC29" s="86">
        <v>54.667000000000002</v>
      </c>
      <c r="AD29" s="85">
        <v>3.9258888888888888</v>
      </c>
      <c r="AE29" s="85">
        <v>0.36973868295437995</v>
      </c>
      <c r="AF29" s="85">
        <v>4.3330000000000002</v>
      </c>
      <c r="AG29" s="87">
        <v>100</v>
      </c>
      <c r="AH29" s="85">
        <v>77.891194444444466</v>
      </c>
      <c r="AI29" s="85">
        <v>2.7855961641923925</v>
      </c>
      <c r="AJ29" s="88">
        <v>74.947000000000003</v>
      </c>
      <c r="AK29" s="137"/>
      <c r="AL29" s="138"/>
      <c r="AM29" s="139"/>
      <c r="AN29" s="138"/>
      <c r="AO29" s="138"/>
      <c r="AP29" s="138"/>
      <c r="AQ29" s="138"/>
      <c r="AR29" s="138"/>
      <c r="AS29" s="204"/>
      <c r="AT29" s="138"/>
      <c r="AU29" s="138"/>
      <c r="AV29" s="204"/>
      <c r="AW29" s="138"/>
      <c r="AX29" s="138"/>
      <c r="AY29" s="138"/>
      <c r="AZ29" s="205"/>
    </row>
    <row r="30" spans="1:52" ht="22.5" customHeight="1" x14ac:dyDescent="0.3">
      <c r="A30" s="252"/>
      <c r="B30" s="77" t="s">
        <v>35</v>
      </c>
      <c r="C30" s="193"/>
      <c r="D30" s="194"/>
      <c r="E30" s="167"/>
      <c r="F30" s="168"/>
      <c r="G30" s="168"/>
      <c r="H30" s="168"/>
      <c r="I30" s="168"/>
      <c r="J30" s="168"/>
      <c r="K30" s="197"/>
      <c r="L30" s="197"/>
      <c r="M30" s="197"/>
      <c r="N30" s="168"/>
      <c r="O30" s="168"/>
      <c r="P30" s="168"/>
      <c r="Q30" s="168"/>
      <c r="R30" s="168"/>
      <c r="S30" s="168"/>
      <c r="T30" s="170"/>
      <c r="U30" s="167"/>
      <c r="V30" s="168"/>
      <c r="W30" s="168"/>
      <c r="X30" s="168"/>
      <c r="Y30" s="168"/>
      <c r="Z30" s="168"/>
      <c r="AA30" s="197"/>
      <c r="AB30" s="197"/>
      <c r="AC30" s="197"/>
      <c r="AD30" s="168"/>
      <c r="AE30" s="168"/>
      <c r="AF30" s="168"/>
      <c r="AG30" s="198"/>
      <c r="AH30" s="168"/>
      <c r="AI30" s="168"/>
      <c r="AJ30" s="170"/>
      <c r="AK30" s="19">
        <v>23</v>
      </c>
      <c r="AL30" s="20">
        <v>81</v>
      </c>
      <c r="AM30" s="21">
        <v>3.6818181818181817</v>
      </c>
      <c r="AN30" s="20">
        <v>23</v>
      </c>
      <c r="AO30" s="20">
        <v>20</v>
      </c>
      <c r="AP30" s="20">
        <v>100</v>
      </c>
      <c r="AQ30" s="27">
        <v>55.08695652173914</v>
      </c>
      <c r="AR30" s="27">
        <v>4.9237837374111937</v>
      </c>
      <c r="AS30" s="27">
        <v>49.866666666666667</v>
      </c>
      <c r="AT30" s="21">
        <v>4.0870434782608696</v>
      </c>
      <c r="AU30" s="21">
        <v>0.39584598215454886</v>
      </c>
      <c r="AV30" s="21">
        <v>4.6669999999999998</v>
      </c>
      <c r="AW30" s="20">
        <v>100</v>
      </c>
      <c r="AX30" s="20">
        <v>74.834130434782622</v>
      </c>
      <c r="AY30" s="21">
        <v>2.0159239181714379</v>
      </c>
      <c r="AZ30" s="80">
        <v>72.7</v>
      </c>
    </row>
    <row r="31" spans="1:52" ht="22.5" customHeight="1" x14ac:dyDescent="0.3">
      <c r="A31" s="252"/>
      <c r="B31" s="77" t="s">
        <v>37</v>
      </c>
      <c r="C31" s="193"/>
      <c r="D31" s="194"/>
      <c r="E31" s="167"/>
      <c r="F31" s="168"/>
      <c r="G31" s="168"/>
      <c r="H31" s="168"/>
      <c r="I31" s="168"/>
      <c r="J31" s="168"/>
      <c r="K31" s="197"/>
      <c r="L31" s="197"/>
      <c r="M31" s="197"/>
      <c r="N31" s="168"/>
      <c r="O31" s="168"/>
      <c r="P31" s="168"/>
      <c r="Q31" s="168"/>
      <c r="R31" s="168"/>
      <c r="S31" s="168"/>
      <c r="T31" s="170"/>
      <c r="U31" s="167"/>
      <c r="V31" s="168"/>
      <c r="W31" s="168"/>
      <c r="X31" s="168"/>
      <c r="Y31" s="168"/>
      <c r="Z31" s="168"/>
      <c r="AA31" s="197"/>
      <c r="AB31" s="197"/>
      <c r="AC31" s="197"/>
      <c r="AD31" s="168"/>
      <c r="AE31" s="168"/>
      <c r="AF31" s="168"/>
      <c r="AG31" s="198"/>
      <c r="AH31" s="168"/>
      <c r="AI31" s="168"/>
      <c r="AJ31" s="170"/>
      <c r="AK31" s="19">
        <v>9</v>
      </c>
      <c r="AL31" s="20">
        <v>39</v>
      </c>
      <c r="AM31" s="21">
        <v>4.333333333333333</v>
      </c>
      <c r="AN31" s="20">
        <v>8</v>
      </c>
      <c r="AO31" s="20">
        <v>18</v>
      </c>
      <c r="AP31" s="20">
        <v>100</v>
      </c>
      <c r="AQ31" s="27">
        <v>63.916666666666671</v>
      </c>
      <c r="AR31" s="27">
        <v>7.0999804381576794</v>
      </c>
      <c r="AS31" s="27">
        <v>59.833333333333329</v>
      </c>
      <c r="AT31" s="21">
        <v>3.5833750000000002</v>
      </c>
      <c r="AU31" s="21">
        <v>0.43298872314992126</v>
      </c>
      <c r="AV31" s="21">
        <v>3.9833500000000002</v>
      </c>
      <c r="AW31" s="20">
        <v>100</v>
      </c>
      <c r="AX31" s="20">
        <v>81.482500000000002</v>
      </c>
      <c r="AY31" s="21">
        <v>1.5967603921695486</v>
      </c>
      <c r="AZ31" s="80">
        <v>79.848249999999993</v>
      </c>
    </row>
    <row r="32" spans="1:52" ht="22.5" customHeight="1" x14ac:dyDescent="0.3">
      <c r="A32" s="252"/>
      <c r="B32" s="77" t="s">
        <v>20</v>
      </c>
      <c r="C32" s="193"/>
      <c r="D32" s="194"/>
      <c r="E32" s="167"/>
      <c r="F32" s="168"/>
      <c r="G32" s="168"/>
      <c r="H32" s="168"/>
      <c r="I32" s="168"/>
      <c r="J32" s="168"/>
      <c r="K32" s="197"/>
      <c r="L32" s="197"/>
      <c r="M32" s="197"/>
      <c r="N32" s="168"/>
      <c r="O32" s="168"/>
      <c r="P32" s="168"/>
      <c r="Q32" s="168"/>
      <c r="R32" s="168"/>
      <c r="S32" s="168"/>
      <c r="T32" s="170"/>
      <c r="U32" s="167"/>
      <c r="V32" s="168"/>
      <c r="W32" s="168"/>
      <c r="X32" s="168"/>
      <c r="Y32" s="168"/>
      <c r="Z32" s="168"/>
      <c r="AA32" s="197"/>
      <c r="AB32" s="197"/>
      <c r="AC32" s="197"/>
      <c r="AD32" s="168"/>
      <c r="AE32" s="168"/>
      <c r="AF32" s="168"/>
      <c r="AG32" s="198"/>
      <c r="AH32" s="168"/>
      <c r="AI32" s="168"/>
      <c r="AJ32" s="170"/>
      <c r="AK32" s="19">
        <v>22</v>
      </c>
      <c r="AL32" s="20">
        <v>113</v>
      </c>
      <c r="AM32" s="21">
        <v>5.3809523809523814</v>
      </c>
      <c r="AN32" s="20">
        <v>20</v>
      </c>
      <c r="AO32" s="20">
        <v>16</v>
      </c>
      <c r="AP32" s="20">
        <v>100</v>
      </c>
      <c r="AQ32" s="27">
        <v>60.066666666666663</v>
      </c>
      <c r="AR32" s="27">
        <v>4.3083897481801303</v>
      </c>
      <c r="AS32" s="27">
        <v>55.283333333333339</v>
      </c>
      <c r="AT32" s="21">
        <v>3.95</v>
      </c>
      <c r="AU32" s="21">
        <v>0.28413623492965334</v>
      </c>
      <c r="AV32" s="21">
        <v>4.3330000000000002</v>
      </c>
      <c r="AW32" s="20">
        <v>100</v>
      </c>
      <c r="AX32" s="20">
        <v>77.752499999999984</v>
      </c>
      <c r="AY32" s="21">
        <v>1.0833968571134436</v>
      </c>
      <c r="AZ32" s="80">
        <v>76.577250000000006</v>
      </c>
    </row>
    <row r="33" spans="1:52" s="74" customFormat="1" ht="22.5" customHeight="1" x14ac:dyDescent="0.3">
      <c r="A33" s="252"/>
      <c r="B33" s="76" t="s">
        <v>59</v>
      </c>
      <c r="C33" s="75" t="s">
        <v>69</v>
      </c>
      <c r="D33" s="30" t="s">
        <v>72</v>
      </c>
      <c r="E33" s="83">
        <v>5</v>
      </c>
      <c r="F33" s="84">
        <v>38</v>
      </c>
      <c r="G33" s="85">
        <v>7.6</v>
      </c>
      <c r="H33" s="84">
        <v>5</v>
      </c>
      <c r="I33" s="84">
        <v>6</v>
      </c>
      <c r="J33" s="84">
        <v>100</v>
      </c>
      <c r="K33" s="86">
        <v>66.933400000000006</v>
      </c>
      <c r="L33" s="86">
        <v>6.2905050226511889</v>
      </c>
      <c r="M33" s="209">
        <v>61.067</v>
      </c>
      <c r="N33" s="85">
        <v>3.5331999999999999</v>
      </c>
      <c r="O33" s="85">
        <v>0.26685007026418656</v>
      </c>
      <c r="P33" s="85">
        <v>3.8001999999999998</v>
      </c>
      <c r="Q33" s="84">
        <v>100</v>
      </c>
      <c r="R33" s="85">
        <v>82.209400000000002</v>
      </c>
      <c r="S33" s="85">
        <v>1.8460703778561931</v>
      </c>
      <c r="T33" s="88">
        <v>80.75</v>
      </c>
      <c r="U33" s="83">
        <v>14</v>
      </c>
      <c r="V33" s="84">
        <v>77</v>
      </c>
      <c r="W33" s="85">
        <v>5.5</v>
      </c>
      <c r="X33" s="84">
        <v>14</v>
      </c>
      <c r="Y33" s="84">
        <v>21</v>
      </c>
      <c r="Z33" s="84">
        <v>100</v>
      </c>
      <c r="AA33" s="86">
        <v>59.619071428571431</v>
      </c>
      <c r="AB33" s="86">
        <v>3.8189778637050571</v>
      </c>
      <c r="AC33" s="86">
        <v>55.249699999999997</v>
      </c>
      <c r="AD33" s="85">
        <v>3.9523571428571427</v>
      </c>
      <c r="AE33" s="85">
        <v>0.38215954569701244</v>
      </c>
      <c r="AF33" s="85">
        <v>4.3330000000000002</v>
      </c>
      <c r="AG33" s="87">
        <v>100</v>
      </c>
      <c r="AH33" s="85">
        <v>77.612642857142859</v>
      </c>
      <c r="AI33" s="85">
        <v>1.5517106968553376</v>
      </c>
      <c r="AJ33" s="88">
        <v>76.531849999999991</v>
      </c>
      <c r="AK33" s="19">
        <v>18</v>
      </c>
      <c r="AL33" s="20">
        <v>91</v>
      </c>
      <c r="AM33" s="21">
        <v>5.0555555555555554</v>
      </c>
      <c r="AN33" s="20">
        <v>18</v>
      </c>
      <c r="AO33" s="20">
        <v>14</v>
      </c>
      <c r="AP33" s="20">
        <v>100</v>
      </c>
      <c r="AQ33" s="27">
        <v>58.592592592592595</v>
      </c>
      <c r="AR33" s="27">
        <v>4.4438271176208595</v>
      </c>
      <c r="AS33" s="27">
        <v>54.883333333333333</v>
      </c>
      <c r="AT33" s="21">
        <v>3.8889444444444448</v>
      </c>
      <c r="AU33" s="21">
        <v>0.2720068365607769</v>
      </c>
      <c r="AV33" s="21">
        <v>4.1498499999999998</v>
      </c>
      <c r="AW33" s="20">
        <v>100</v>
      </c>
      <c r="AX33" s="20">
        <v>77.93805555555555</v>
      </c>
      <c r="AY33" s="21">
        <v>1.1113582016927546</v>
      </c>
      <c r="AZ33" s="80">
        <v>76.975250000000003</v>
      </c>
    </row>
    <row r="34" spans="1:52" s="74" customFormat="1" ht="22.5" customHeight="1" x14ac:dyDescent="0.3">
      <c r="A34" s="252"/>
      <c r="B34" s="76" t="s">
        <v>60</v>
      </c>
      <c r="C34" s="75" t="s">
        <v>69</v>
      </c>
      <c r="D34" s="30" t="s">
        <v>72</v>
      </c>
      <c r="E34" s="83">
        <v>9</v>
      </c>
      <c r="F34" s="84">
        <v>118</v>
      </c>
      <c r="G34" s="85">
        <v>13.111111111111111</v>
      </c>
      <c r="H34" s="84">
        <v>9</v>
      </c>
      <c r="I34" s="84">
        <v>6</v>
      </c>
      <c r="J34" s="84">
        <v>100</v>
      </c>
      <c r="K34" s="86">
        <v>64.666666666666671</v>
      </c>
      <c r="L34" s="86">
        <v>6.365351818853255</v>
      </c>
      <c r="M34" s="86">
        <v>62.332999999999998</v>
      </c>
      <c r="N34" s="85">
        <v>3.4073333333333329</v>
      </c>
      <c r="O34" s="85">
        <v>0.3055141386071909</v>
      </c>
      <c r="P34" s="85">
        <v>3.6669999999999998</v>
      </c>
      <c r="Q34" s="84">
        <v>100</v>
      </c>
      <c r="R34" s="85">
        <v>82.809111111111108</v>
      </c>
      <c r="S34" s="85">
        <v>1.9448822554733198</v>
      </c>
      <c r="T34" s="88">
        <v>81.049799999999991</v>
      </c>
      <c r="U34" s="83">
        <v>18</v>
      </c>
      <c r="V34" s="84">
        <v>112</v>
      </c>
      <c r="W34" s="85">
        <v>6.5882352941176467</v>
      </c>
      <c r="X34" s="84">
        <v>16</v>
      </c>
      <c r="Y34" s="84">
        <v>25</v>
      </c>
      <c r="Z34" s="84">
        <v>100</v>
      </c>
      <c r="AA34" s="86">
        <v>59.250125000000004</v>
      </c>
      <c r="AB34" s="86">
        <v>5.6056550116266237</v>
      </c>
      <c r="AC34" s="86">
        <v>53.5</v>
      </c>
      <c r="AD34" s="85">
        <v>3.7083750000000002</v>
      </c>
      <c r="AE34" s="85">
        <v>0.2790714234295586</v>
      </c>
      <c r="AF34" s="85">
        <v>4</v>
      </c>
      <c r="AG34" s="87">
        <v>100</v>
      </c>
      <c r="AH34" s="85">
        <v>79.64</v>
      </c>
      <c r="AI34" s="85">
        <v>2.4953047910026505</v>
      </c>
      <c r="AJ34" s="88">
        <v>77.710250000000002</v>
      </c>
      <c r="AK34" s="19">
        <v>17</v>
      </c>
      <c r="AL34" s="20">
        <v>58</v>
      </c>
      <c r="AM34" s="21">
        <v>3.625</v>
      </c>
      <c r="AN34" s="20">
        <v>17</v>
      </c>
      <c r="AO34" s="20">
        <v>14</v>
      </c>
      <c r="AP34" s="20">
        <v>100</v>
      </c>
      <c r="AQ34" s="27">
        <v>61.529411764705884</v>
      </c>
      <c r="AR34" s="27">
        <v>6.3955241942579084</v>
      </c>
      <c r="AS34" s="27">
        <v>57.266666666666666</v>
      </c>
      <c r="AT34" s="21">
        <v>3.9411764705882346</v>
      </c>
      <c r="AU34" s="21">
        <v>0.36572606838101196</v>
      </c>
      <c r="AV34" s="21">
        <v>4.3330000000000002</v>
      </c>
      <c r="AW34" s="20">
        <v>100</v>
      </c>
      <c r="AX34" s="20">
        <v>78.791176470588226</v>
      </c>
      <c r="AY34" s="21">
        <v>3.2596627980659716</v>
      </c>
      <c r="AZ34" s="80">
        <v>75.100999999999999</v>
      </c>
    </row>
    <row r="35" spans="1:52" s="74" customFormat="1" ht="22.5" customHeight="1" x14ac:dyDescent="0.3">
      <c r="A35" s="252"/>
      <c r="B35" s="76" t="s">
        <v>61</v>
      </c>
      <c r="C35" s="75" t="s">
        <v>69</v>
      </c>
      <c r="D35" s="30" t="s">
        <v>74</v>
      </c>
      <c r="E35" s="83">
        <v>6</v>
      </c>
      <c r="F35" s="84">
        <v>57</v>
      </c>
      <c r="G35" s="85">
        <v>9.5</v>
      </c>
      <c r="H35" s="84">
        <v>6</v>
      </c>
      <c r="I35" s="84">
        <v>8</v>
      </c>
      <c r="J35" s="84">
        <v>100</v>
      </c>
      <c r="K35" s="86">
        <v>64.555666666666653</v>
      </c>
      <c r="L35" s="86">
        <v>4.3061770232489076</v>
      </c>
      <c r="M35" s="86">
        <v>59.5</v>
      </c>
      <c r="N35" s="85">
        <v>3.6111666666666671</v>
      </c>
      <c r="O35" s="85">
        <v>0.22923671656656941</v>
      </c>
      <c r="P35" s="85">
        <v>3.7502499999999999</v>
      </c>
      <c r="Q35" s="84">
        <v>100</v>
      </c>
      <c r="R35" s="85">
        <v>79.39266666666667</v>
      </c>
      <c r="S35" s="85">
        <v>1.2037795571545902</v>
      </c>
      <c r="T35" s="88">
        <v>78.300999999999988</v>
      </c>
      <c r="U35" s="83">
        <v>16</v>
      </c>
      <c r="V35" s="84">
        <v>75</v>
      </c>
      <c r="W35" s="85">
        <v>4.6875</v>
      </c>
      <c r="X35" s="84">
        <v>15</v>
      </c>
      <c r="Y35" s="84">
        <v>19</v>
      </c>
      <c r="Z35" s="84">
        <v>100</v>
      </c>
      <c r="AA35" s="86">
        <v>58.999933333333338</v>
      </c>
      <c r="AB35" s="86">
        <v>4.7858386860496349</v>
      </c>
      <c r="AC35" s="86">
        <v>52.599699999999999</v>
      </c>
      <c r="AD35" s="85">
        <v>3.8667333333333338</v>
      </c>
      <c r="AE35" s="85">
        <v>0.36761241666854627</v>
      </c>
      <c r="AF35" s="85">
        <v>4.2997000000000005</v>
      </c>
      <c r="AG35" s="87">
        <v>100</v>
      </c>
      <c r="AH35" s="85">
        <v>74.752800000000008</v>
      </c>
      <c r="AI35" s="85">
        <v>1.9709444166016108</v>
      </c>
      <c r="AJ35" s="88">
        <v>73.284300000000002</v>
      </c>
      <c r="AK35" s="19">
        <v>23</v>
      </c>
      <c r="AL35" s="20">
        <v>123</v>
      </c>
      <c r="AM35" s="21">
        <v>5.5909090909090908</v>
      </c>
      <c r="AN35" s="20">
        <v>21</v>
      </c>
      <c r="AO35" s="20">
        <v>36</v>
      </c>
      <c r="AP35" s="20">
        <v>100</v>
      </c>
      <c r="AQ35" s="27">
        <v>59.460317460317462</v>
      </c>
      <c r="AR35" s="27">
        <v>6.5469215597714285</v>
      </c>
      <c r="AS35" s="27">
        <v>51.666666666666664</v>
      </c>
      <c r="AT35" s="21">
        <v>3.8571904761904765</v>
      </c>
      <c r="AU35" s="21">
        <v>0.37879955989410075</v>
      </c>
      <c r="AV35" s="21">
        <v>4.3330000000000002</v>
      </c>
      <c r="AW35" s="20">
        <v>100</v>
      </c>
      <c r="AX35" s="20">
        <v>72.071428571428598</v>
      </c>
      <c r="AY35" s="21">
        <v>3.1311252894491797</v>
      </c>
      <c r="AZ35" s="80">
        <v>68.75</v>
      </c>
    </row>
    <row r="36" spans="1:52" s="74" customFormat="1" ht="22.5" customHeight="1" x14ac:dyDescent="0.3">
      <c r="A36" s="252"/>
      <c r="B36" s="76" t="s">
        <v>62</v>
      </c>
      <c r="C36" s="75" t="s">
        <v>69</v>
      </c>
      <c r="D36" s="30" t="s">
        <v>74</v>
      </c>
      <c r="E36" s="83">
        <v>105</v>
      </c>
      <c r="F36" s="84">
        <v>582</v>
      </c>
      <c r="G36" s="85">
        <v>5.5428571428571427</v>
      </c>
      <c r="H36" s="84">
        <v>104</v>
      </c>
      <c r="I36" s="84">
        <v>81</v>
      </c>
      <c r="J36" s="84">
        <v>100</v>
      </c>
      <c r="K36" s="86">
        <v>67.224394230769235</v>
      </c>
      <c r="L36" s="86">
        <v>5.5990427554426043</v>
      </c>
      <c r="M36" s="86">
        <v>61.667000000000002</v>
      </c>
      <c r="N36" s="85">
        <v>3.4006346153846154</v>
      </c>
      <c r="O36" s="85">
        <v>0.30802741067128736</v>
      </c>
      <c r="P36" s="85">
        <v>3.6669999999999998</v>
      </c>
      <c r="Q36" s="84">
        <v>100</v>
      </c>
      <c r="R36" s="85">
        <v>83.455894230769275</v>
      </c>
      <c r="S36" s="85">
        <v>1.6837074129032454</v>
      </c>
      <c r="T36" s="88">
        <v>82.000100000000003</v>
      </c>
      <c r="U36" s="83">
        <v>126</v>
      </c>
      <c r="V36" s="84">
        <v>547</v>
      </c>
      <c r="W36" s="85">
        <v>4.3760000000000003</v>
      </c>
      <c r="X36" s="84">
        <v>122</v>
      </c>
      <c r="Y36" s="84">
        <v>115</v>
      </c>
      <c r="Z36" s="84">
        <v>100</v>
      </c>
      <c r="AA36" s="86">
        <v>63.63386885245901</v>
      </c>
      <c r="AB36" s="86">
        <v>5.3606434452158007</v>
      </c>
      <c r="AC36" s="86">
        <v>58</v>
      </c>
      <c r="AD36" s="85">
        <v>3.6694262295081961</v>
      </c>
      <c r="AE36" s="85">
        <v>0.34691721202925341</v>
      </c>
      <c r="AF36" s="85">
        <v>4</v>
      </c>
      <c r="AG36" s="87">
        <v>100</v>
      </c>
      <c r="AH36" s="85">
        <v>81.444762295082</v>
      </c>
      <c r="AI36" s="85">
        <v>2.4344489229073685</v>
      </c>
      <c r="AJ36" s="88">
        <v>79.323549999999997</v>
      </c>
      <c r="AK36" s="137"/>
      <c r="AL36" s="138"/>
      <c r="AM36" s="139"/>
      <c r="AN36" s="138"/>
      <c r="AO36" s="138"/>
      <c r="AP36" s="138"/>
      <c r="AQ36" s="138"/>
      <c r="AR36" s="138"/>
      <c r="AS36" s="204"/>
      <c r="AT36" s="138"/>
      <c r="AU36" s="138"/>
      <c r="AV36" s="204"/>
      <c r="AW36" s="138"/>
      <c r="AX36" s="138"/>
      <c r="AY36" s="138"/>
      <c r="AZ36" s="205"/>
    </row>
    <row r="37" spans="1:52" s="74" customFormat="1" ht="22.5" customHeight="1" thickBot="1" x14ac:dyDescent="0.35">
      <c r="A37" s="253"/>
      <c r="B37" s="78" t="s">
        <v>63</v>
      </c>
      <c r="C37" s="79" t="s">
        <v>69</v>
      </c>
      <c r="D37" s="82"/>
      <c r="E37" s="89">
        <v>274</v>
      </c>
      <c r="F37" s="90">
        <f>SUM(F9:F36)</f>
        <v>1740</v>
      </c>
      <c r="G37" s="91">
        <v>6.3503649635036492</v>
      </c>
      <c r="H37" s="90">
        <v>271</v>
      </c>
      <c r="I37" s="90">
        <v>204</v>
      </c>
      <c r="J37" s="90">
        <v>100</v>
      </c>
      <c r="K37" s="92">
        <v>66.927431734317295</v>
      </c>
      <c r="L37" s="92">
        <v>5.6458144678598998</v>
      </c>
      <c r="M37" s="202"/>
      <c r="N37" s="91">
        <v>3.4021918819188182</v>
      </c>
      <c r="O37" s="91">
        <v>0.31666808972250149</v>
      </c>
      <c r="P37" s="203"/>
      <c r="Q37" s="90">
        <v>100</v>
      </c>
      <c r="R37" s="91">
        <v>83.493907749077451</v>
      </c>
      <c r="S37" s="91">
        <v>2.4428371508857274</v>
      </c>
      <c r="T37" s="181"/>
      <c r="U37" s="89">
        <v>402</v>
      </c>
      <c r="V37" s="90">
        <v>1732</v>
      </c>
      <c r="W37" s="91">
        <v>4.4987012987012989</v>
      </c>
      <c r="X37" s="90">
        <v>393</v>
      </c>
      <c r="Y37" s="90">
        <v>394</v>
      </c>
      <c r="Z37" s="90">
        <v>100</v>
      </c>
      <c r="AA37" s="92">
        <v>62.612379134860014</v>
      </c>
      <c r="AB37" s="92">
        <v>6.0595848647294055</v>
      </c>
      <c r="AC37" s="202"/>
      <c r="AD37" s="91">
        <v>3.696376590330789</v>
      </c>
      <c r="AE37" s="91">
        <v>0.39382961415301226</v>
      </c>
      <c r="AF37" s="203"/>
      <c r="AG37" s="93">
        <v>100</v>
      </c>
      <c r="AH37" s="91">
        <v>80.637704834605572</v>
      </c>
      <c r="AI37" s="91">
        <v>3.5038888420167145</v>
      </c>
      <c r="AJ37" s="181"/>
      <c r="AK37" s="81">
        <v>382</v>
      </c>
      <c r="AL37" s="70">
        <v>1514</v>
      </c>
      <c r="AM37" s="71">
        <v>4.1793611793611793</v>
      </c>
      <c r="AN37" s="70">
        <v>373</v>
      </c>
      <c r="AO37" s="70">
        <v>395</v>
      </c>
      <c r="AP37" s="70">
        <v>100</v>
      </c>
      <c r="AQ37" s="94">
        <v>61.98189300411525</v>
      </c>
      <c r="AR37" s="94">
        <v>6.6096077746754558</v>
      </c>
      <c r="AS37" s="207"/>
      <c r="AT37" s="104">
        <v>3.7333530864197551</v>
      </c>
      <c r="AU37" s="104">
        <v>0.41797496087989044</v>
      </c>
      <c r="AV37" s="207"/>
      <c r="AW37" s="70">
        <v>100</v>
      </c>
      <c r="AX37" s="70">
        <v>79.766950617283868</v>
      </c>
      <c r="AY37" s="70">
        <v>4.4758336030308392</v>
      </c>
      <c r="AZ37" s="208"/>
    </row>
  </sheetData>
  <mergeCells count="21">
    <mergeCell ref="A9:A37"/>
    <mergeCell ref="A1:AZ1"/>
    <mergeCell ref="A6:A8"/>
    <mergeCell ref="B6:B8"/>
    <mergeCell ref="U6:AJ6"/>
    <mergeCell ref="U7:Y7"/>
    <mergeCell ref="Z7:AC7"/>
    <mergeCell ref="AD7:AF7"/>
    <mergeCell ref="AG7:AJ7"/>
    <mergeCell ref="C6:C8"/>
    <mergeCell ref="D6:D8"/>
    <mergeCell ref="AK6:AZ6"/>
    <mergeCell ref="AK7:AO7"/>
    <mergeCell ref="AP7:AS7"/>
    <mergeCell ref="AT7:AV7"/>
    <mergeCell ref="AW7:AZ7"/>
    <mergeCell ref="E6:T6"/>
    <mergeCell ref="E7:I7"/>
    <mergeCell ref="J7:M7"/>
    <mergeCell ref="N7:P7"/>
    <mergeCell ref="Q7:T7"/>
  </mergeCells>
  <phoneticPr fontId="2" type="noConversion"/>
  <printOptions horizontalCentered="1"/>
  <pageMargins left="0.15748031496062992" right="0.15748031496062992" top="0.74803149606299213" bottom="0.74803149606299213" header="0.31496062992125984" footer="0.31496062992125984"/>
  <pageSetup paperSize="8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학생부교과전형</vt:lpstr>
      <vt:lpstr>학생부종합전형</vt:lpstr>
      <vt:lpstr>정시일반전형</vt:lpstr>
      <vt:lpstr>학생부교과전형!Print_Titles</vt:lpstr>
      <vt:lpstr>학생부종합전형!Print_Titles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상후 조</cp:lastModifiedBy>
  <cp:lastPrinted>2022-04-01T00:13:25Z</cp:lastPrinted>
  <dcterms:created xsi:type="dcterms:W3CDTF">2022-03-30T23:50:58Z</dcterms:created>
  <dcterms:modified xsi:type="dcterms:W3CDTF">2026-04-15T11:45:52Z</dcterms:modified>
</cp:coreProperties>
</file>