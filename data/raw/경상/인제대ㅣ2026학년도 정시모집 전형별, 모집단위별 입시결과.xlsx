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21E009A-5070-4336-82E1-9014D3F5DE4C}" xr6:coauthVersionLast="36" xr6:coauthVersionMax="36" xr10:uidLastSave="{00000000-0000-0000-0000-000000000000}"/>
  <bookViews>
    <workbookView xWindow="-120" yWindow="-120" windowWidth="29040" windowHeight="15225" xr2:uid="{00000000-000D-0000-FFFF-FFFF00000000}"/>
  </bookViews>
  <sheets>
    <sheet name="정시 전체" sheetId="12" r:id="rId1"/>
  </sheets>
  <definedNames>
    <definedName name="_xlnm._FilterDatabase" localSheetId="0" hidden="1">'정시 전체'!$A$7:$AH$36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2" l="1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I7" authorId="0" shapeId="0" xr:uid="{7203BB8D-C955-47A5-807D-06F779FF9C72}">
      <text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영역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과목별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표준점수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합산하여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한국사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L7" authorId="0" shapeId="0" xr:uid="{7BD0770F-39CD-4077-989E-4B88FDE64C02}">
      <text>
        <r>
          <rPr>
            <b/>
            <sz val="9"/>
            <color indexed="81"/>
            <rFont val="Tahoma"/>
            <family val="2"/>
          </rPr>
          <t>&lt;</t>
        </r>
        <r>
          <rPr>
            <b/>
            <sz val="9"/>
            <color indexed="81"/>
            <rFont val="돋움"/>
            <family val="3"/>
            <charset val="129"/>
          </rPr>
          <t>평균등급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산출방법</t>
        </r>
        <r>
          <rPr>
            <b/>
            <sz val="9"/>
            <color indexed="81"/>
            <rFont val="Tahoma"/>
            <family val="2"/>
          </rPr>
          <t>&gt;
=(</t>
        </r>
        <r>
          <rPr>
            <b/>
            <sz val="9"/>
            <color indexed="81"/>
            <rFont val="돋움"/>
            <family val="3"/>
            <charset val="129"/>
          </rPr>
          <t>국어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수학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영어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탐구</t>
        </r>
        <r>
          <rPr>
            <b/>
            <sz val="9"/>
            <color indexed="81"/>
            <rFont val="Tahoma"/>
            <family val="2"/>
          </rPr>
          <t>1+</t>
        </r>
        <r>
          <rPr>
            <b/>
            <sz val="9"/>
            <color indexed="81"/>
            <rFont val="돋움"/>
            <family val="3"/>
            <charset val="129"/>
          </rPr>
          <t>탐구</t>
        </r>
        <r>
          <rPr>
            <b/>
            <sz val="9"/>
            <color indexed="81"/>
            <rFont val="Tahoma"/>
            <family val="2"/>
          </rPr>
          <t>2)/5</t>
        </r>
      </text>
    </comment>
    <comment ref="Q7" authorId="0" shapeId="0" xr:uid="{81CD69EB-6189-45D8-9BF8-2985797A6C61}">
      <text>
        <r>
          <rPr>
            <b/>
            <sz val="9"/>
            <color indexed="81"/>
            <rFont val="Tahoma"/>
            <family val="2"/>
          </rPr>
          <t>&lt;</t>
        </r>
        <r>
          <rPr>
            <b/>
            <sz val="9"/>
            <color indexed="81"/>
            <rFont val="돋움"/>
            <family val="3"/>
            <charset val="129"/>
          </rPr>
          <t>평균등급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산출방법</t>
        </r>
        <r>
          <rPr>
            <b/>
            <sz val="9"/>
            <color indexed="81"/>
            <rFont val="Tahoma"/>
            <family val="2"/>
          </rPr>
          <t>&gt;
=(</t>
        </r>
        <r>
          <rPr>
            <b/>
            <sz val="9"/>
            <color indexed="81"/>
            <rFont val="돋움"/>
            <family val="3"/>
            <charset val="129"/>
          </rPr>
          <t>국어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수학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탐구</t>
        </r>
        <r>
          <rPr>
            <b/>
            <sz val="9"/>
            <color indexed="81"/>
            <rFont val="Tahoma"/>
            <family val="2"/>
          </rPr>
          <t>1+</t>
        </r>
        <r>
          <rPr>
            <b/>
            <sz val="9"/>
            <color indexed="81"/>
            <rFont val="돋움"/>
            <family val="3"/>
            <charset val="129"/>
          </rPr>
          <t>탐구</t>
        </r>
        <r>
          <rPr>
            <b/>
            <sz val="9"/>
            <color indexed="81"/>
            <rFont val="Tahoma"/>
            <family val="2"/>
          </rPr>
          <t>2)/4</t>
        </r>
      </text>
    </comment>
    <comment ref="R7" authorId="0" shapeId="0" xr:uid="{BB6B09AE-0FF5-4460-B7FE-012574362CE2}">
      <text>
        <r>
          <rPr>
            <b/>
            <sz val="9"/>
            <color indexed="81"/>
            <rFont val="Tahoma"/>
            <family val="2"/>
          </rPr>
          <t>&lt;</t>
        </r>
        <r>
          <rPr>
            <b/>
            <sz val="9"/>
            <color indexed="81"/>
            <rFont val="돋움"/>
            <family val="3"/>
            <charset val="129"/>
          </rPr>
          <t>평균등급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산출방법</t>
        </r>
        <r>
          <rPr>
            <b/>
            <sz val="9"/>
            <color indexed="81"/>
            <rFont val="Tahoma"/>
            <family val="2"/>
          </rPr>
          <t>&gt;
=(</t>
        </r>
        <r>
          <rPr>
            <b/>
            <sz val="9"/>
            <color indexed="81"/>
            <rFont val="돋움"/>
            <family val="3"/>
            <charset val="129"/>
          </rPr>
          <t>국어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백분위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수학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백분위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탐구</t>
        </r>
        <r>
          <rPr>
            <b/>
            <sz val="9"/>
            <color indexed="81"/>
            <rFont val="Tahoma"/>
            <family val="2"/>
          </rPr>
          <t xml:space="preserve">1 </t>
        </r>
        <r>
          <rPr>
            <b/>
            <sz val="9"/>
            <color indexed="81"/>
            <rFont val="돋움"/>
            <family val="3"/>
            <charset val="129"/>
          </rPr>
          <t>백분위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탐구</t>
        </r>
        <r>
          <rPr>
            <b/>
            <sz val="9"/>
            <color indexed="81"/>
            <rFont val="Tahoma"/>
            <family val="2"/>
          </rPr>
          <t xml:space="preserve">2 </t>
        </r>
        <r>
          <rPr>
            <b/>
            <sz val="9"/>
            <color indexed="81"/>
            <rFont val="돋움"/>
            <family val="3"/>
            <charset val="129"/>
          </rPr>
          <t>백분위</t>
        </r>
        <r>
          <rPr>
            <b/>
            <sz val="9"/>
            <color indexed="81"/>
            <rFont val="Tahoma"/>
            <family val="2"/>
          </rPr>
          <t>)/4</t>
        </r>
      </text>
    </comment>
  </commentList>
</comments>
</file>

<file path=xl/sharedStrings.xml><?xml version="1.0" encoding="utf-8"?>
<sst xmlns="http://schemas.openxmlformats.org/spreadsheetml/2006/main" count="202" uniqueCount="76">
  <si>
    <t>학
년
도</t>
    <phoneticPr fontId="3" type="noConversion"/>
  </si>
  <si>
    <t>모집단위</t>
  </si>
  <si>
    <t>지원
인원</t>
    <phoneticPr fontId="3" type="noConversion"/>
  </si>
  <si>
    <t>비고</t>
    <phoneticPr fontId="3" type="noConversion"/>
  </si>
  <si>
    <t>충원합격
예비번호</t>
    <phoneticPr fontId="3" type="noConversion"/>
  </si>
  <si>
    <t>웹툰영상학과</t>
  </si>
  <si>
    <t>등록인원 1명 이하</t>
    <phoneticPr fontId="2" type="noConversion"/>
  </si>
  <si>
    <t xml:space="preserve">  가. 자료대상자: 최종등록자 기준</t>
    <phoneticPr fontId="3" type="noConversion"/>
  </si>
  <si>
    <t>전형명</t>
    <phoneticPr fontId="3" type="noConversion"/>
  </si>
  <si>
    <t>모집
인원</t>
  </si>
  <si>
    <t>경쟁률</t>
  </si>
  <si>
    <t>등록
인원</t>
    <phoneticPr fontId="3" type="noConversion"/>
  </si>
  <si>
    <t>4개영역
(국어,수학,영어,탐구)</t>
    <phoneticPr fontId="2" type="noConversion"/>
  </si>
  <si>
    <t>영어</t>
  </si>
  <si>
    <t>3개영역
(국어,수학,탐구)</t>
    <phoneticPr fontId="3" type="noConversion"/>
  </si>
  <si>
    <t>국어</t>
    <phoneticPr fontId="2" type="noConversion"/>
  </si>
  <si>
    <t>수학</t>
    <phoneticPr fontId="2" type="noConversion"/>
  </si>
  <si>
    <t>탐구</t>
    <phoneticPr fontId="2" type="noConversion"/>
  </si>
  <si>
    <t>평균점수</t>
  </si>
  <si>
    <t>70%CUT</t>
    <phoneticPr fontId="2" type="noConversion"/>
  </si>
  <si>
    <t>표준편차</t>
    <phoneticPr fontId="3" type="noConversion"/>
  </si>
  <si>
    <t>평균등급</t>
  </si>
  <si>
    <t>평균등급</t>
    <phoneticPr fontId="3" type="noConversion"/>
  </si>
  <si>
    <t>표준편차</t>
    <phoneticPr fontId="2" type="noConversion"/>
  </si>
  <si>
    <t>평균등급</t>
    <phoneticPr fontId="2" type="noConversion"/>
  </si>
  <si>
    <t>평균백분위</t>
    <phoneticPr fontId="2" type="noConversion"/>
  </si>
  <si>
    <t>평균점수</t>
    <phoneticPr fontId="2" type="noConversion"/>
  </si>
  <si>
    <t>의예과</t>
    <phoneticPr fontId="5" type="noConversion"/>
  </si>
  <si>
    <t>충원
합격
인원</t>
    <phoneticPr fontId="3" type="noConversion"/>
  </si>
  <si>
    <t>비고</t>
    <phoneticPr fontId="2" type="noConversion"/>
  </si>
  <si>
    <t>최고점수</t>
    <phoneticPr fontId="2" type="noConversion"/>
  </si>
  <si>
    <t>※ 표준점수: 각 영역·과목별 표준점수 합산하여 반영한 점수(한국사 제외)</t>
  </si>
  <si>
    <t>실기
[만점: 80점]</t>
    <phoneticPr fontId="2" type="noConversion"/>
  </si>
  <si>
    <t>2026</t>
  </si>
  <si>
    <t>약학과</t>
    <phoneticPr fontId="5" type="noConversion"/>
  </si>
  <si>
    <t>간호학과</t>
    <phoneticPr fontId="5" type="noConversion"/>
  </si>
  <si>
    <t>물리치료학과</t>
    <phoneticPr fontId="5" type="noConversion"/>
  </si>
  <si>
    <t>반려동물보건학과</t>
    <phoneticPr fontId="5" type="noConversion"/>
  </si>
  <si>
    <t>방사선학과</t>
    <phoneticPr fontId="5" type="noConversion"/>
  </si>
  <si>
    <t>의생명보건계열</t>
    <phoneticPr fontId="5" type="noConversion"/>
  </si>
  <si>
    <t>유아교육과</t>
    <phoneticPr fontId="5" type="noConversion"/>
  </si>
  <si>
    <t>사회과학계열</t>
    <phoneticPr fontId="5" type="noConversion"/>
  </si>
  <si>
    <t>경영계열</t>
    <phoneticPr fontId="5" type="noConversion"/>
  </si>
  <si>
    <t>글로컬리더스학부</t>
    <phoneticPr fontId="5" type="noConversion"/>
  </si>
  <si>
    <t>자유전공학부</t>
    <phoneticPr fontId="5" type="noConversion"/>
  </si>
  <si>
    <t>공학계열</t>
    <phoneticPr fontId="5" type="noConversion"/>
  </si>
  <si>
    <t>등록인원 1명 이하</t>
    <phoneticPr fontId="2" type="noConversion"/>
  </si>
  <si>
    <t>최고점수</t>
    <phoneticPr fontId="2" type="noConversion"/>
  </si>
  <si>
    <t>70%Cut</t>
    <phoneticPr fontId="2" type="noConversion"/>
  </si>
  <si>
    <t>수능 3개 영역</t>
    <phoneticPr fontId="2" type="noConversion"/>
  </si>
  <si>
    <t>평균점수</t>
    <phoneticPr fontId="2" type="noConversion"/>
  </si>
  <si>
    <t>만점기준</t>
    <phoneticPr fontId="2" type="noConversion"/>
  </si>
  <si>
    <t>정시(가) 수능</t>
    <phoneticPr fontId="5" type="noConversion"/>
  </si>
  <si>
    <t>혁신신약·제약공학계열</t>
    <phoneticPr fontId="5" type="noConversion"/>
  </si>
  <si>
    <t>미디어·콘텐츠계열</t>
    <phoneticPr fontId="5" type="noConversion"/>
  </si>
  <si>
    <t>컴퓨터·AI계열</t>
    <phoneticPr fontId="5" type="noConversion"/>
  </si>
  <si>
    <t>정시(가) 지역인재</t>
    <phoneticPr fontId="5" type="noConversion"/>
  </si>
  <si>
    <t>정시(가) 농어촌학생</t>
    <phoneticPr fontId="5" type="noConversion"/>
  </si>
  <si>
    <t>정시(가) 기초생활수급권자</t>
    <phoneticPr fontId="5" type="noConversion"/>
  </si>
  <si>
    <t>음악학과</t>
    <phoneticPr fontId="2" type="noConversion"/>
  </si>
  <si>
    <t>학생부 점수 기준</t>
    <phoneticPr fontId="2" type="noConversion"/>
  </si>
  <si>
    <t>최고등급</t>
    <phoneticPr fontId="2" type="noConversion"/>
  </si>
  <si>
    <t>없음</t>
    <phoneticPr fontId="2" type="noConversion"/>
  </si>
  <si>
    <t>실기
[만점: 90점]</t>
    <phoneticPr fontId="2" type="noConversion"/>
  </si>
  <si>
    <t>정시(다) 실기</t>
    <phoneticPr fontId="2" type="noConversion"/>
  </si>
  <si>
    <t xml:space="preserve">  나. 모집단위 중 등록인원이 1명 이하인 경우 수능(학생부) 점수 및 등급 미공개</t>
    <phoneticPr fontId="3" type="noConversion"/>
  </si>
  <si>
    <t xml:space="preserve">  다. 충원합격대상자(예비후보자)가 없는 경우 충원합격예비번호 "없음"으로 표기
       ※ 단, 충원합격대상자는 있으나 충원합격인원이 없을 경우 "0"으로 표기</t>
    <phoneticPr fontId="3" type="noConversion"/>
  </si>
  <si>
    <t>학생부 점수 기준</t>
    <phoneticPr fontId="5" type="noConversion"/>
  </si>
  <si>
    <t>학생부 평균 등급기준</t>
    <phoneticPr fontId="5" type="noConversion"/>
  </si>
  <si>
    <t>만점기준</t>
    <phoneticPr fontId="3" type="noConversion"/>
  </si>
  <si>
    <t>평균점수</t>
    <phoneticPr fontId="3" type="noConversion"/>
  </si>
  <si>
    <t>70%CUT</t>
    <phoneticPr fontId="3" type="noConversion"/>
  </si>
  <si>
    <t>정시(가) 학생부교과</t>
    <phoneticPr fontId="2" type="noConversion"/>
  </si>
  <si>
    <t>스포츠헬스케어학부(경기지도전공)</t>
    <phoneticPr fontId="2" type="noConversion"/>
  </si>
  <si>
    <t>융합기술공학과</t>
    <phoneticPr fontId="2" type="noConversion"/>
  </si>
  <si>
    <t>■ 2026학년도 정시모집 입학전형 결과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</si>
</sst>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0_);[Red]\(0.00\)"/>
    <numFmt numFmtId="178" formatCode="0.00_ "/>
  </numFmts>
  <fonts count="1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68">
    <xf numFmtId="0" fontId="0" fillId="0" borderId="0" xfId="0"/>
    <xf numFmtId="0" fontId="11" fillId="0" borderId="0" xfId="0" applyFont="1"/>
    <xf numFmtId="0" fontId="11" fillId="0" borderId="0" xfId="0" applyFont="1" applyAlignment="1">
      <alignment vertical="center"/>
    </xf>
    <xf numFmtId="0" fontId="11" fillId="0" borderId="2" xfId="0" applyNumberFormat="1" applyFont="1" applyBorder="1"/>
    <xf numFmtId="0" fontId="12" fillId="0" borderId="2" xfId="0" applyNumberFormat="1" applyFont="1" applyBorder="1"/>
    <xf numFmtId="178" fontId="11" fillId="0" borderId="2" xfId="0" applyNumberFormat="1" applyFont="1" applyBorder="1"/>
    <xf numFmtId="0" fontId="11" fillId="0" borderId="2" xfId="0" applyNumberFormat="1" applyFont="1" applyBorder="1" applyAlignment="1">
      <alignment horizontal="right"/>
    </xf>
    <xf numFmtId="0" fontId="11" fillId="0" borderId="2" xfId="0" applyNumberFormat="1" applyFont="1" applyBorder="1" applyAlignment="1">
      <alignment horizontal="center"/>
    </xf>
    <xf numFmtId="0" fontId="11" fillId="0" borderId="2" xfId="0" applyNumberFormat="1" applyFont="1" applyFill="1" applyBorder="1"/>
    <xf numFmtId="0" fontId="11" fillId="0" borderId="0" xfId="0" applyNumberFormat="1" applyFont="1" applyBorder="1"/>
    <xf numFmtId="0" fontId="12" fillId="0" borderId="0" xfId="0" applyNumberFormat="1" applyFont="1" applyBorder="1"/>
    <xf numFmtId="178" fontId="11" fillId="0" borderId="0" xfId="0" applyNumberFormat="1" applyFont="1" applyBorder="1"/>
    <xf numFmtId="0" fontId="11" fillId="0" borderId="0" xfId="0" applyNumberFormat="1" applyFont="1" applyBorder="1" applyAlignment="1">
      <alignment horizontal="right"/>
    </xf>
    <xf numFmtId="0" fontId="11" fillId="0" borderId="0" xfId="0" applyNumberFormat="1" applyFont="1" applyBorder="1" applyAlignment="1">
      <alignment horizontal="center"/>
    </xf>
    <xf numFmtId="178" fontId="11" fillId="0" borderId="0" xfId="0" applyNumberFormat="1" applyFont="1" applyAlignment="1">
      <alignment vertical="center"/>
    </xf>
    <xf numFmtId="177" fontId="11" fillId="0" borderId="0" xfId="0" applyNumberFormat="1" applyFont="1" applyAlignment="1">
      <alignment vertical="center"/>
    </xf>
    <xf numFmtId="177" fontId="11" fillId="0" borderId="0" xfId="0" applyNumberFormat="1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178" fontId="11" fillId="0" borderId="0" xfId="0" applyNumberFormat="1" applyFont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/>
    <xf numFmtId="177" fontId="11" fillId="0" borderId="2" xfId="0" applyNumberFormat="1" applyFont="1" applyBorder="1" applyAlignment="1">
      <alignment vertical="center"/>
    </xf>
    <xf numFmtId="177" fontId="11" fillId="0" borderId="0" xfId="0" applyNumberFormat="1" applyFont="1" applyFill="1" applyBorder="1" applyAlignment="1">
      <alignment vertical="center"/>
    </xf>
    <xf numFmtId="177" fontId="8" fillId="2" borderId="2" xfId="1" applyNumberFormat="1" applyFont="1" applyFill="1" applyBorder="1" applyAlignment="1">
      <alignment horizontal="center" vertical="center" wrapText="1"/>
    </xf>
    <xf numFmtId="9" fontId="8" fillId="2" borderId="2" xfId="1" applyNumberFormat="1" applyFont="1" applyFill="1" applyBorder="1" applyAlignment="1">
      <alignment horizontal="center" vertical="center" wrapText="1"/>
    </xf>
    <xf numFmtId="177" fontId="8" fillId="2" borderId="2" xfId="1" applyNumberFormat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 shrinkToFit="1"/>
    </xf>
    <xf numFmtId="178" fontId="8" fillId="2" borderId="2" xfId="1" applyNumberFormat="1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/>
    </xf>
    <xf numFmtId="177" fontId="6" fillId="2" borderId="2" xfId="0" applyNumberFormat="1" applyFont="1" applyFill="1" applyBorder="1" applyAlignment="1">
      <alignment horizontal="center" vertical="center"/>
    </xf>
    <xf numFmtId="177" fontId="14" fillId="2" borderId="2" xfId="0" applyNumberFormat="1" applyFont="1" applyFill="1" applyBorder="1" applyAlignment="1">
      <alignment horizontal="center" vertical="center"/>
    </xf>
    <xf numFmtId="177" fontId="6" fillId="2" borderId="2" xfId="0" applyNumberFormat="1" applyFont="1" applyFill="1" applyBorder="1" applyAlignment="1">
      <alignment horizontal="center" vertical="center" shrinkToFit="1"/>
    </xf>
    <xf numFmtId="177" fontId="11" fillId="0" borderId="2" xfId="0" applyNumberFormat="1" applyFont="1" applyFill="1" applyBorder="1" applyAlignment="1">
      <alignment vertical="center"/>
    </xf>
    <xf numFmtId="177" fontId="12" fillId="0" borderId="2" xfId="0" applyNumberFormat="1" applyFont="1" applyFill="1" applyBorder="1" applyAlignment="1">
      <alignment vertical="center"/>
    </xf>
    <xf numFmtId="0" fontId="12" fillId="0" borderId="2" xfId="0" applyNumberFormat="1" applyFont="1" applyFill="1" applyBorder="1"/>
    <xf numFmtId="178" fontId="8" fillId="2" borderId="2" xfId="1" applyNumberFormat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177" fontId="11" fillId="0" borderId="2" xfId="0" applyNumberFormat="1" applyFont="1" applyBorder="1" applyAlignment="1">
      <alignment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76" fontId="7" fillId="2" borderId="2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177" fontId="11" fillId="0" borderId="2" xfId="0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77" fontId="13" fillId="0" borderId="10" xfId="0" applyNumberFormat="1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center" vertical="center"/>
    </xf>
    <xf numFmtId="0" fontId="14" fillId="2" borderId="4" xfId="0" applyNumberFormat="1" applyFont="1" applyFill="1" applyBorder="1" applyAlignment="1">
      <alignment horizontal="center" vertical="center" shrinkToFit="1"/>
    </xf>
    <xf numFmtId="0" fontId="14" fillId="2" borderId="5" xfId="0" applyNumberFormat="1" applyFont="1" applyFill="1" applyBorder="1" applyAlignment="1">
      <alignment horizontal="center" vertical="center" shrinkToFit="1"/>
    </xf>
    <xf numFmtId="0" fontId="14" fillId="2" borderId="3" xfId="0" applyNumberFormat="1" applyFont="1" applyFill="1" applyBorder="1" applyAlignment="1">
      <alignment horizontal="center" vertical="center" shrinkToFit="1"/>
    </xf>
    <xf numFmtId="0" fontId="14" fillId="2" borderId="1" xfId="0" applyNumberFormat="1" applyFont="1" applyFill="1" applyBorder="1" applyAlignment="1">
      <alignment horizontal="center" vertical="center" shrinkToFit="1"/>
    </xf>
  </cellXfs>
  <cellStyles count="3">
    <cellStyle name="표준" xfId="0" builtinId="0"/>
    <cellStyle name="표준 2" xfId="1" xr:uid="{F746A0A0-8384-4817-83B1-4072D6518D34}"/>
    <cellStyle name="표준 3" xfId="2" xr:uid="{2C5BB05E-BA60-469D-820F-583FF4662D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5678-9611-4CC4-9452-4B22FB0193AF}">
  <sheetPr>
    <pageSetUpPr fitToPage="1"/>
  </sheetPr>
  <dimension ref="A1:AH53"/>
  <sheetViews>
    <sheetView tabSelected="1" zoomScale="80" zoomScaleNormal="80" workbookViewId="0">
      <selection activeCell="V49" sqref="V49"/>
    </sheetView>
  </sheetViews>
  <sheetFormatPr defaultRowHeight="16.5" x14ac:dyDescent="0.3"/>
  <cols>
    <col min="1" max="1" width="9.625" style="2" customWidth="1"/>
    <col min="2" max="2" width="23.75" style="2" bestFit="1" customWidth="1"/>
    <col min="3" max="3" width="33.75" style="2" bestFit="1" customWidth="1"/>
    <col min="4" max="5" width="5" style="2" bestFit="1" customWidth="1"/>
    <col min="6" max="6" width="6.625" style="14" bestFit="1" customWidth="1"/>
    <col min="7" max="7" width="5" style="2" customWidth="1"/>
    <col min="8" max="8" width="8.375" style="2" customWidth="1"/>
    <col min="9" max="9" width="9.25" style="2" customWidth="1"/>
    <col min="10" max="10" width="9.25" style="15" customWidth="1"/>
    <col min="11" max="11" width="9.25" style="2" customWidth="1"/>
    <col min="12" max="12" width="8.75" style="2" customWidth="1"/>
    <col min="13" max="16" width="9.25" style="15" customWidth="1"/>
    <col min="17" max="17" width="8.75" style="15" customWidth="1"/>
    <col min="18" max="18" width="10" style="15" customWidth="1"/>
    <col min="19" max="19" width="8.375" style="15" customWidth="1"/>
    <col min="20" max="20" width="8.875" style="15" customWidth="1"/>
    <col min="21" max="22" width="8.375" style="15" customWidth="1"/>
    <col min="23" max="23" width="10" style="2" customWidth="1"/>
    <col min="24" max="24" width="8.375" style="15" customWidth="1"/>
    <col min="25" max="25" width="8.875" style="14" customWidth="1"/>
    <col min="26" max="27" width="8.375" style="14" customWidth="1"/>
    <col min="28" max="28" width="10" style="2" customWidth="1"/>
    <col min="29" max="29" width="8.375" style="14" customWidth="1"/>
    <col min="30" max="30" width="8.875" style="14" customWidth="1"/>
    <col min="31" max="32" width="8.375" style="14" customWidth="1"/>
    <col min="33" max="33" width="10" style="2" customWidth="1"/>
    <col min="34" max="34" width="16.625" style="14" customWidth="1"/>
    <col min="35" max="16384" width="9" style="2"/>
  </cols>
  <sheetData>
    <row r="1" spans="1:34" s="1" customFormat="1" ht="26.25" x14ac:dyDescent="0.3">
      <c r="A1" s="48" t="s">
        <v>75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</row>
    <row r="2" spans="1:34" s="1" customFormat="1" ht="26.25" x14ac:dyDescent="0.3">
      <c r="A2" s="49" t="s">
        <v>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</row>
    <row r="3" spans="1:34" s="1" customFormat="1" ht="26.25" x14ac:dyDescent="0.3">
      <c r="A3" s="49" t="s">
        <v>65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</row>
    <row r="4" spans="1:34" s="1" customFormat="1" ht="55.5" customHeight="1" x14ac:dyDescent="0.3">
      <c r="A4" s="50" t="s">
        <v>66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</row>
    <row r="5" spans="1:34" ht="16.5" customHeight="1" x14ac:dyDescent="0.3">
      <c r="A5" s="47" t="s">
        <v>0</v>
      </c>
      <c r="B5" s="37" t="s">
        <v>8</v>
      </c>
      <c r="C5" s="37" t="s">
        <v>1</v>
      </c>
      <c r="D5" s="37" t="s">
        <v>9</v>
      </c>
      <c r="E5" s="37" t="s">
        <v>2</v>
      </c>
      <c r="F5" s="36" t="s">
        <v>10</v>
      </c>
      <c r="G5" s="37" t="s">
        <v>11</v>
      </c>
      <c r="H5" s="37" t="s">
        <v>4</v>
      </c>
      <c r="I5" s="37" t="s">
        <v>12</v>
      </c>
      <c r="J5" s="37"/>
      <c r="K5" s="37"/>
      <c r="L5" s="37"/>
      <c r="M5" s="37" t="s">
        <v>13</v>
      </c>
      <c r="N5" s="37"/>
      <c r="O5" s="37" t="s">
        <v>14</v>
      </c>
      <c r="P5" s="37"/>
      <c r="Q5" s="37"/>
      <c r="R5" s="37"/>
      <c r="S5" s="37" t="s">
        <v>15</v>
      </c>
      <c r="T5" s="37"/>
      <c r="U5" s="37"/>
      <c r="V5" s="37"/>
      <c r="W5" s="37"/>
      <c r="X5" s="37" t="s">
        <v>16</v>
      </c>
      <c r="Y5" s="37"/>
      <c r="Z5" s="37"/>
      <c r="AA5" s="37"/>
      <c r="AB5" s="37"/>
      <c r="AC5" s="37" t="s">
        <v>17</v>
      </c>
      <c r="AD5" s="37"/>
      <c r="AE5" s="37"/>
      <c r="AF5" s="37"/>
      <c r="AG5" s="37"/>
      <c r="AH5" s="37" t="s">
        <v>3</v>
      </c>
    </row>
    <row r="6" spans="1:34" ht="16.5" customHeight="1" x14ac:dyDescent="0.3">
      <c r="A6" s="47"/>
      <c r="B6" s="37"/>
      <c r="C6" s="37"/>
      <c r="D6" s="37"/>
      <c r="E6" s="37"/>
      <c r="F6" s="36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</row>
    <row r="7" spans="1:34" x14ac:dyDescent="0.3">
      <c r="A7" s="47"/>
      <c r="B7" s="37"/>
      <c r="C7" s="37"/>
      <c r="D7" s="37"/>
      <c r="E7" s="37"/>
      <c r="F7" s="36"/>
      <c r="G7" s="37"/>
      <c r="H7" s="37"/>
      <c r="I7" s="24" t="s">
        <v>18</v>
      </c>
      <c r="J7" s="25" t="s">
        <v>19</v>
      </c>
      <c r="K7" s="24" t="s">
        <v>20</v>
      </c>
      <c r="L7" s="24" t="s">
        <v>21</v>
      </c>
      <c r="M7" s="24" t="s">
        <v>18</v>
      </c>
      <c r="N7" s="24" t="s">
        <v>22</v>
      </c>
      <c r="O7" s="24" t="s">
        <v>18</v>
      </c>
      <c r="P7" s="24" t="s">
        <v>23</v>
      </c>
      <c r="Q7" s="24" t="s">
        <v>24</v>
      </c>
      <c r="R7" s="26" t="s">
        <v>25</v>
      </c>
      <c r="S7" s="26" t="s">
        <v>26</v>
      </c>
      <c r="T7" s="27" t="s">
        <v>19</v>
      </c>
      <c r="U7" s="26" t="s">
        <v>23</v>
      </c>
      <c r="V7" s="28" t="s">
        <v>24</v>
      </c>
      <c r="W7" s="28" t="s">
        <v>25</v>
      </c>
      <c r="X7" s="28" t="s">
        <v>26</v>
      </c>
      <c r="Y7" s="27" t="s">
        <v>19</v>
      </c>
      <c r="Z7" s="28" t="s">
        <v>23</v>
      </c>
      <c r="AA7" s="28" t="s">
        <v>24</v>
      </c>
      <c r="AB7" s="28" t="s">
        <v>25</v>
      </c>
      <c r="AC7" s="28" t="s">
        <v>26</v>
      </c>
      <c r="AD7" s="27" t="s">
        <v>19</v>
      </c>
      <c r="AE7" s="28" t="s">
        <v>23</v>
      </c>
      <c r="AF7" s="28" t="s">
        <v>24</v>
      </c>
      <c r="AG7" s="28" t="s">
        <v>25</v>
      </c>
      <c r="AH7" s="37"/>
    </row>
    <row r="8" spans="1:34" ht="18" customHeight="1" x14ac:dyDescent="0.3">
      <c r="A8" s="3" t="s">
        <v>33</v>
      </c>
      <c r="B8" s="4" t="s">
        <v>52</v>
      </c>
      <c r="C8" s="4" t="s">
        <v>27</v>
      </c>
      <c r="D8" s="3">
        <v>12</v>
      </c>
      <c r="E8" s="3">
        <v>75</v>
      </c>
      <c r="F8" s="5">
        <f>E8/D8</f>
        <v>6.25</v>
      </c>
      <c r="G8" s="3">
        <v>13</v>
      </c>
      <c r="H8" s="6">
        <v>25</v>
      </c>
      <c r="I8" s="3">
        <v>544.30999999999995</v>
      </c>
      <c r="J8" s="3">
        <v>544</v>
      </c>
      <c r="K8" s="3">
        <v>1.49</v>
      </c>
      <c r="L8" s="3">
        <v>1.18</v>
      </c>
      <c r="M8" s="3">
        <v>135</v>
      </c>
      <c r="N8" s="3">
        <v>1</v>
      </c>
      <c r="O8" s="3">
        <v>409.31</v>
      </c>
      <c r="P8" s="3">
        <v>1.49</v>
      </c>
      <c r="Q8" s="3">
        <v>1.23</v>
      </c>
      <c r="R8" s="3">
        <v>96.96</v>
      </c>
      <c r="S8" s="3">
        <v>144.08000000000001</v>
      </c>
      <c r="T8" s="3">
        <v>144</v>
      </c>
      <c r="U8" s="3">
        <v>2.4</v>
      </c>
      <c r="V8" s="3">
        <v>1</v>
      </c>
      <c r="W8" s="3">
        <v>99.69</v>
      </c>
      <c r="X8" s="3">
        <v>131.85</v>
      </c>
      <c r="Y8" s="3">
        <v>130</v>
      </c>
      <c r="Z8" s="3">
        <v>2.77</v>
      </c>
      <c r="AA8" s="3">
        <v>1.08</v>
      </c>
      <c r="AB8" s="3">
        <v>97.92</v>
      </c>
      <c r="AC8" s="3">
        <v>133.38</v>
      </c>
      <c r="AD8" s="3">
        <v>132</v>
      </c>
      <c r="AE8" s="3">
        <v>2.2400000000000002</v>
      </c>
      <c r="AF8" s="3">
        <v>1.42</v>
      </c>
      <c r="AG8" s="3">
        <v>95.12</v>
      </c>
      <c r="AH8" s="3"/>
    </row>
    <row r="9" spans="1:34" ht="18" customHeight="1" x14ac:dyDescent="0.3">
      <c r="A9" s="3" t="s">
        <v>33</v>
      </c>
      <c r="B9" s="4" t="s">
        <v>52</v>
      </c>
      <c r="C9" s="4" t="s">
        <v>34</v>
      </c>
      <c r="D9" s="3">
        <v>6</v>
      </c>
      <c r="E9" s="3">
        <v>56</v>
      </c>
      <c r="F9" s="5">
        <f t="shared" ref="F9:F36" si="0">E9/D9</f>
        <v>9.3333333333333339</v>
      </c>
      <c r="G9" s="3">
        <v>6</v>
      </c>
      <c r="H9" s="6">
        <v>8</v>
      </c>
      <c r="I9" s="3">
        <v>531.33000000000004</v>
      </c>
      <c r="J9" s="3">
        <v>531</v>
      </c>
      <c r="K9" s="3">
        <v>0.47</v>
      </c>
      <c r="L9" s="3">
        <v>1.5</v>
      </c>
      <c r="M9" s="3">
        <v>135</v>
      </c>
      <c r="N9" s="3">
        <v>1</v>
      </c>
      <c r="O9" s="3">
        <v>396.33</v>
      </c>
      <c r="P9" s="3">
        <v>0.47</v>
      </c>
      <c r="Q9" s="3">
        <v>1.63</v>
      </c>
      <c r="R9" s="3">
        <v>93.42</v>
      </c>
      <c r="S9" s="3">
        <v>141.33000000000001</v>
      </c>
      <c r="T9" s="3">
        <v>141</v>
      </c>
      <c r="U9" s="3">
        <v>2.21</v>
      </c>
      <c r="V9" s="3">
        <v>1</v>
      </c>
      <c r="W9" s="3">
        <v>99.17</v>
      </c>
      <c r="X9" s="3">
        <v>124</v>
      </c>
      <c r="Y9" s="3">
        <v>124</v>
      </c>
      <c r="Z9" s="3">
        <v>2.4500000000000002</v>
      </c>
      <c r="AA9" s="3">
        <v>2.33</v>
      </c>
      <c r="AB9" s="3">
        <v>87.67</v>
      </c>
      <c r="AC9" s="3">
        <v>131</v>
      </c>
      <c r="AD9" s="3">
        <v>131</v>
      </c>
      <c r="AE9" s="3">
        <v>3.16</v>
      </c>
      <c r="AF9" s="3">
        <v>1.58</v>
      </c>
      <c r="AG9" s="3">
        <v>93.42</v>
      </c>
      <c r="AH9" s="3"/>
    </row>
    <row r="10" spans="1:34" ht="18" customHeight="1" x14ac:dyDescent="0.3">
      <c r="A10" s="3" t="s">
        <v>33</v>
      </c>
      <c r="B10" s="4" t="s">
        <v>52</v>
      </c>
      <c r="C10" s="4" t="s">
        <v>53</v>
      </c>
      <c r="D10" s="3">
        <v>25</v>
      </c>
      <c r="E10" s="3">
        <v>73</v>
      </c>
      <c r="F10" s="5">
        <f t="shared" si="0"/>
        <v>2.92</v>
      </c>
      <c r="G10" s="3">
        <v>27</v>
      </c>
      <c r="H10" s="6">
        <v>18</v>
      </c>
      <c r="I10" s="3">
        <v>432.59</v>
      </c>
      <c r="J10" s="3">
        <v>427</v>
      </c>
      <c r="K10" s="3">
        <v>8.35</v>
      </c>
      <c r="L10" s="3">
        <v>4.37</v>
      </c>
      <c r="M10" s="3">
        <v>119.26</v>
      </c>
      <c r="N10" s="3">
        <v>3.41</v>
      </c>
      <c r="O10" s="3">
        <v>313.33</v>
      </c>
      <c r="P10" s="3">
        <v>9.58</v>
      </c>
      <c r="Q10" s="3">
        <v>4.6100000000000003</v>
      </c>
      <c r="R10" s="3">
        <v>55.03</v>
      </c>
      <c r="S10" s="3">
        <v>103.63</v>
      </c>
      <c r="T10" s="3">
        <v>102</v>
      </c>
      <c r="U10" s="3">
        <v>8.26</v>
      </c>
      <c r="V10" s="3">
        <v>4.59</v>
      </c>
      <c r="W10" s="3">
        <v>55.37</v>
      </c>
      <c r="X10" s="3">
        <v>107.04</v>
      </c>
      <c r="Y10" s="3">
        <v>102</v>
      </c>
      <c r="Z10" s="3">
        <v>9.6300000000000008</v>
      </c>
      <c r="AA10" s="3">
        <v>4.5199999999999996</v>
      </c>
      <c r="AB10" s="3">
        <v>57.37</v>
      </c>
      <c r="AC10" s="3">
        <v>102.67</v>
      </c>
      <c r="AD10" s="3">
        <v>98</v>
      </c>
      <c r="AE10" s="3">
        <v>8.23</v>
      </c>
      <c r="AF10" s="3">
        <v>4.67</v>
      </c>
      <c r="AG10" s="3">
        <v>53.69</v>
      </c>
      <c r="AH10" s="3"/>
    </row>
    <row r="11" spans="1:34" ht="18" customHeight="1" x14ac:dyDescent="0.3">
      <c r="A11" s="3" t="s">
        <v>33</v>
      </c>
      <c r="B11" s="4" t="s">
        <v>52</v>
      </c>
      <c r="C11" s="4" t="s">
        <v>35</v>
      </c>
      <c r="D11" s="3">
        <v>23</v>
      </c>
      <c r="E11" s="3">
        <v>87</v>
      </c>
      <c r="F11" s="5">
        <f t="shared" si="0"/>
        <v>3.7826086956521738</v>
      </c>
      <c r="G11" s="3">
        <v>23</v>
      </c>
      <c r="H11" s="6">
        <v>17</v>
      </c>
      <c r="I11" s="3">
        <v>484.39</v>
      </c>
      <c r="J11" s="3">
        <v>482</v>
      </c>
      <c r="K11" s="3">
        <v>5.38</v>
      </c>
      <c r="L11" s="3">
        <v>3.03</v>
      </c>
      <c r="M11" s="3">
        <v>126.39</v>
      </c>
      <c r="N11" s="3">
        <v>2.48</v>
      </c>
      <c r="O11" s="3">
        <v>358</v>
      </c>
      <c r="P11" s="3">
        <v>8.09</v>
      </c>
      <c r="Q11" s="3">
        <v>3.17</v>
      </c>
      <c r="R11" s="3">
        <v>77.67</v>
      </c>
      <c r="S11" s="3">
        <v>120.91</v>
      </c>
      <c r="T11" s="3">
        <v>118</v>
      </c>
      <c r="U11" s="3">
        <v>6.95</v>
      </c>
      <c r="V11" s="3">
        <v>2.91</v>
      </c>
      <c r="W11" s="3">
        <v>81.48</v>
      </c>
      <c r="X11" s="3">
        <v>118.43</v>
      </c>
      <c r="Y11" s="3">
        <v>116</v>
      </c>
      <c r="Z11" s="3">
        <v>4.42</v>
      </c>
      <c r="AA11" s="3">
        <v>3.35</v>
      </c>
      <c r="AB11" s="3">
        <v>75.349999999999994</v>
      </c>
      <c r="AC11" s="3">
        <v>118.65</v>
      </c>
      <c r="AD11" s="3">
        <v>117</v>
      </c>
      <c r="AE11" s="3">
        <v>6.84</v>
      </c>
      <c r="AF11" s="3">
        <v>3.22</v>
      </c>
      <c r="AG11" s="3">
        <v>76.930000000000007</v>
      </c>
      <c r="AH11" s="3"/>
    </row>
    <row r="12" spans="1:34" ht="18" customHeight="1" x14ac:dyDescent="0.3">
      <c r="A12" s="3" t="s">
        <v>33</v>
      </c>
      <c r="B12" s="4" t="s">
        <v>52</v>
      </c>
      <c r="C12" s="4" t="s">
        <v>36</v>
      </c>
      <c r="D12" s="3">
        <v>4</v>
      </c>
      <c r="E12" s="3">
        <v>38</v>
      </c>
      <c r="F12" s="5">
        <f t="shared" si="0"/>
        <v>9.5</v>
      </c>
      <c r="G12" s="3">
        <v>4</v>
      </c>
      <c r="H12" s="6">
        <v>0</v>
      </c>
      <c r="I12" s="3">
        <v>471.5</v>
      </c>
      <c r="J12" s="3">
        <v>465</v>
      </c>
      <c r="K12" s="3">
        <v>7.7</v>
      </c>
      <c r="L12" s="3">
        <v>3.25</v>
      </c>
      <c r="M12" s="3">
        <v>118</v>
      </c>
      <c r="N12" s="3">
        <v>3.5</v>
      </c>
      <c r="O12" s="3">
        <v>353.5</v>
      </c>
      <c r="P12" s="3">
        <v>3.91</v>
      </c>
      <c r="Q12" s="3">
        <v>3.19</v>
      </c>
      <c r="R12" s="3">
        <v>76.31</v>
      </c>
      <c r="S12" s="3">
        <v>114.5</v>
      </c>
      <c r="T12" s="3">
        <v>113</v>
      </c>
      <c r="U12" s="3">
        <v>3.35</v>
      </c>
      <c r="V12" s="3">
        <v>3.75</v>
      </c>
      <c r="W12" s="3">
        <v>72.75</v>
      </c>
      <c r="X12" s="3">
        <v>117</v>
      </c>
      <c r="Y12" s="3">
        <v>114</v>
      </c>
      <c r="Z12" s="3">
        <v>4.95</v>
      </c>
      <c r="AA12" s="3">
        <v>3.25</v>
      </c>
      <c r="AB12" s="3">
        <v>72.25</v>
      </c>
      <c r="AC12" s="3">
        <v>122</v>
      </c>
      <c r="AD12" s="3">
        <v>120</v>
      </c>
      <c r="AE12" s="3">
        <v>5.0999999999999996</v>
      </c>
      <c r="AF12" s="3">
        <v>2.88</v>
      </c>
      <c r="AG12" s="3">
        <v>80.13</v>
      </c>
      <c r="AH12" s="3"/>
    </row>
    <row r="13" spans="1:34" ht="18" customHeight="1" x14ac:dyDescent="0.3">
      <c r="A13" s="3" t="s">
        <v>33</v>
      </c>
      <c r="B13" s="4" t="s">
        <v>52</v>
      </c>
      <c r="C13" s="4" t="s">
        <v>37</v>
      </c>
      <c r="D13" s="3">
        <v>1</v>
      </c>
      <c r="E13" s="3">
        <v>9</v>
      </c>
      <c r="F13" s="5">
        <f t="shared" si="0"/>
        <v>9</v>
      </c>
      <c r="G13" s="3">
        <v>3</v>
      </c>
      <c r="H13" s="6">
        <v>5</v>
      </c>
      <c r="I13" s="3">
        <v>389.67</v>
      </c>
      <c r="J13" s="3">
        <v>389</v>
      </c>
      <c r="K13" s="3">
        <v>6.55</v>
      </c>
      <c r="L13" s="3">
        <v>5.33</v>
      </c>
      <c r="M13" s="3">
        <v>117</v>
      </c>
      <c r="N13" s="3">
        <v>3.67</v>
      </c>
      <c r="O13" s="3">
        <v>272.67</v>
      </c>
      <c r="P13" s="3">
        <v>10.34</v>
      </c>
      <c r="Q13" s="3">
        <v>5.75</v>
      </c>
      <c r="R13" s="3">
        <v>38.75</v>
      </c>
      <c r="S13" s="3">
        <v>100.33</v>
      </c>
      <c r="T13" s="3">
        <v>93</v>
      </c>
      <c r="U13" s="3">
        <v>11.81</v>
      </c>
      <c r="V13" s="3">
        <v>5</v>
      </c>
      <c r="W13" s="3">
        <v>50</v>
      </c>
      <c r="X13" s="3">
        <v>77.33</v>
      </c>
      <c r="Y13" s="3">
        <v>74</v>
      </c>
      <c r="Z13" s="3">
        <v>6.94</v>
      </c>
      <c r="AA13" s="3">
        <v>7</v>
      </c>
      <c r="AB13" s="3">
        <v>17.329999999999998</v>
      </c>
      <c r="AC13" s="3">
        <v>95</v>
      </c>
      <c r="AD13" s="3">
        <v>93</v>
      </c>
      <c r="AE13" s="3">
        <v>12.33</v>
      </c>
      <c r="AF13" s="3">
        <v>5.5</v>
      </c>
      <c r="AG13" s="3">
        <v>43.83</v>
      </c>
      <c r="AH13" s="3"/>
    </row>
    <row r="14" spans="1:34" ht="18" customHeight="1" x14ac:dyDescent="0.3">
      <c r="A14" s="3" t="s">
        <v>33</v>
      </c>
      <c r="B14" s="4" t="s">
        <v>52</v>
      </c>
      <c r="C14" s="4" t="s">
        <v>38</v>
      </c>
      <c r="D14" s="3">
        <v>2</v>
      </c>
      <c r="E14" s="3">
        <v>22</v>
      </c>
      <c r="F14" s="5">
        <f t="shared" si="0"/>
        <v>11</v>
      </c>
      <c r="G14" s="3">
        <v>3</v>
      </c>
      <c r="H14" s="6">
        <v>5</v>
      </c>
      <c r="I14" s="3">
        <v>466.67</v>
      </c>
      <c r="J14" s="3">
        <v>471</v>
      </c>
      <c r="K14" s="3">
        <v>8.34</v>
      </c>
      <c r="L14" s="3">
        <v>3.53</v>
      </c>
      <c r="M14" s="3">
        <v>127.67</v>
      </c>
      <c r="N14" s="3">
        <v>2.33</v>
      </c>
      <c r="O14" s="3">
        <v>339</v>
      </c>
      <c r="P14" s="3">
        <v>10.029999999999999</v>
      </c>
      <c r="Q14" s="3">
        <v>3.83</v>
      </c>
      <c r="R14" s="3">
        <v>68</v>
      </c>
      <c r="S14" s="3">
        <v>119.33</v>
      </c>
      <c r="T14" s="3">
        <v>120</v>
      </c>
      <c r="U14" s="3">
        <v>1.7</v>
      </c>
      <c r="V14" s="3">
        <v>3</v>
      </c>
      <c r="W14" s="3">
        <v>80.33</v>
      </c>
      <c r="X14" s="3">
        <v>108.33</v>
      </c>
      <c r="Y14" s="3">
        <v>108</v>
      </c>
      <c r="Z14" s="3">
        <v>5.31</v>
      </c>
      <c r="AA14" s="3">
        <v>4.67</v>
      </c>
      <c r="AB14" s="3">
        <v>57.67</v>
      </c>
      <c r="AC14" s="3">
        <v>111.33</v>
      </c>
      <c r="AD14" s="3">
        <v>116</v>
      </c>
      <c r="AE14" s="3">
        <v>10.34</v>
      </c>
      <c r="AF14" s="3">
        <v>3.83</v>
      </c>
      <c r="AG14" s="3">
        <v>67</v>
      </c>
      <c r="AH14" s="3"/>
    </row>
    <row r="15" spans="1:34" ht="18" customHeight="1" x14ac:dyDescent="0.3">
      <c r="A15" s="3" t="s">
        <v>33</v>
      </c>
      <c r="B15" s="4" t="s">
        <v>52</v>
      </c>
      <c r="C15" s="4" t="s">
        <v>39</v>
      </c>
      <c r="D15" s="3">
        <v>11</v>
      </c>
      <c r="E15" s="3">
        <v>56</v>
      </c>
      <c r="F15" s="5">
        <f t="shared" si="0"/>
        <v>5.0909090909090908</v>
      </c>
      <c r="G15" s="3">
        <v>13</v>
      </c>
      <c r="H15" s="6">
        <v>13</v>
      </c>
      <c r="I15" s="3">
        <v>433.31</v>
      </c>
      <c r="J15" s="3">
        <v>427</v>
      </c>
      <c r="K15" s="3">
        <v>7.63</v>
      </c>
      <c r="L15" s="3">
        <v>4.46</v>
      </c>
      <c r="M15" s="3">
        <v>115.77</v>
      </c>
      <c r="N15" s="3">
        <v>3.77</v>
      </c>
      <c r="O15" s="3">
        <v>317.54000000000002</v>
      </c>
      <c r="P15" s="3">
        <v>8.75</v>
      </c>
      <c r="Q15" s="3">
        <v>4.63</v>
      </c>
      <c r="R15" s="3">
        <v>56.71</v>
      </c>
      <c r="S15" s="3">
        <v>107.69</v>
      </c>
      <c r="T15" s="3">
        <v>106</v>
      </c>
      <c r="U15" s="3">
        <v>7.4</v>
      </c>
      <c r="V15" s="3">
        <v>4.46</v>
      </c>
      <c r="W15" s="3">
        <v>61.62</v>
      </c>
      <c r="X15" s="3">
        <v>105.85</v>
      </c>
      <c r="Y15" s="3">
        <v>105</v>
      </c>
      <c r="Z15" s="3">
        <v>8.08</v>
      </c>
      <c r="AA15" s="3">
        <v>4.8499999999999996</v>
      </c>
      <c r="AB15" s="3">
        <v>55.08</v>
      </c>
      <c r="AC15" s="3">
        <v>104</v>
      </c>
      <c r="AD15" s="3">
        <v>99</v>
      </c>
      <c r="AE15" s="3">
        <v>6.55</v>
      </c>
      <c r="AF15" s="3">
        <v>4.62</v>
      </c>
      <c r="AG15" s="3">
        <v>55.08</v>
      </c>
      <c r="AH15" s="3"/>
    </row>
    <row r="16" spans="1:34" ht="18" customHeight="1" x14ac:dyDescent="0.3">
      <c r="A16" s="3" t="s">
        <v>33</v>
      </c>
      <c r="B16" s="4" t="s">
        <v>52</v>
      </c>
      <c r="C16" s="4" t="s">
        <v>40</v>
      </c>
      <c r="D16" s="3">
        <v>1</v>
      </c>
      <c r="E16" s="3">
        <v>7</v>
      </c>
      <c r="F16" s="5">
        <f t="shared" si="0"/>
        <v>7</v>
      </c>
      <c r="G16" s="3">
        <v>1</v>
      </c>
      <c r="H16" s="6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7" t="s">
        <v>6</v>
      </c>
    </row>
    <row r="17" spans="1:34" ht="18" customHeight="1" x14ac:dyDescent="0.3">
      <c r="A17" s="3" t="s">
        <v>33</v>
      </c>
      <c r="B17" s="4" t="s">
        <v>52</v>
      </c>
      <c r="C17" s="4" t="s">
        <v>41</v>
      </c>
      <c r="D17" s="3">
        <v>21</v>
      </c>
      <c r="E17" s="3">
        <v>101</v>
      </c>
      <c r="F17" s="5">
        <f t="shared" si="0"/>
        <v>4.8095238095238093</v>
      </c>
      <c r="G17" s="3">
        <v>25</v>
      </c>
      <c r="H17" s="6">
        <v>23</v>
      </c>
      <c r="I17" s="3">
        <v>413.32</v>
      </c>
      <c r="J17" s="3">
        <v>406</v>
      </c>
      <c r="K17" s="3">
        <v>10.77</v>
      </c>
      <c r="L17" s="3">
        <v>4.7</v>
      </c>
      <c r="M17" s="3">
        <v>113.96</v>
      </c>
      <c r="N17" s="3">
        <v>3.96</v>
      </c>
      <c r="O17" s="3">
        <v>299.36</v>
      </c>
      <c r="P17" s="3">
        <v>9.6</v>
      </c>
      <c r="Q17" s="3">
        <v>4.8899999999999997</v>
      </c>
      <c r="R17" s="3">
        <v>50.99</v>
      </c>
      <c r="S17" s="3">
        <v>100.84</v>
      </c>
      <c r="T17" s="3">
        <v>98</v>
      </c>
      <c r="U17" s="3">
        <v>6.96</v>
      </c>
      <c r="V17" s="3">
        <v>4.96</v>
      </c>
      <c r="W17" s="3">
        <v>50.72</v>
      </c>
      <c r="X17" s="3">
        <v>94.48</v>
      </c>
      <c r="Y17" s="3">
        <v>89</v>
      </c>
      <c r="Z17" s="3">
        <v>11.22</v>
      </c>
      <c r="AA17" s="3">
        <v>5.4</v>
      </c>
      <c r="AB17" s="3">
        <v>41.52</v>
      </c>
      <c r="AC17" s="3">
        <v>104.04</v>
      </c>
      <c r="AD17" s="3">
        <v>99</v>
      </c>
      <c r="AE17" s="3">
        <v>10.6</v>
      </c>
      <c r="AF17" s="3">
        <v>4.5999999999999996</v>
      </c>
      <c r="AG17" s="3">
        <v>55.86</v>
      </c>
      <c r="AH17" s="3"/>
    </row>
    <row r="18" spans="1:34" ht="18" customHeight="1" x14ac:dyDescent="0.3">
      <c r="A18" s="3" t="s">
        <v>33</v>
      </c>
      <c r="B18" s="4" t="s">
        <v>52</v>
      </c>
      <c r="C18" s="4" t="s">
        <v>42</v>
      </c>
      <c r="D18" s="3">
        <v>21</v>
      </c>
      <c r="E18" s="3">
        <v>91</v>
      </c>
      <c r="F18" s="5">
        <f t="shared" si="0"/>
        <v>4.333333333333333</v>
      </c>
      <c r="G18" s="3">
        <v>21</v>
      </c>
      <c r="H18" s="6">
        <v>15</v>
      </c>
      <c r="I18" s="3">
        <v>418.1</v>
      </c>
      <c r="J18" s="3">
        <v>413</v>
      </c>
      <c r="K18" s="3">
        <v>6.52</v>
      </c>
      <c r="L18" s="3">
        <v>4.71</v>
      </c>
      <c r="M18" s="3">
        <v>117.43</v>
      </c>
      <c r="N18" s="3">
        <v>3.62</v>
      </c>
      <c r="O18" s="3">
        <v>300.67</v>
      </c>
      <c r="P18" s="3">
        <v>8.7200000000000006</v>
      </c>
      <c r="Q18" s="3">
        <v>4.99</v>
      </c>
      <c r="R18" s="3">
        <v>49.17</v>
      </c>
      <c r="S18" s="3">
        <v>98.67</v>
      </c>
      <c r="T18" s="3">
        <v>96</v>
      </c>
      <c r="U18" s="3">
        <v>9</v>
      </c>
      <c r="V18" s="3">
        <v>5.05</v>
      </c>
      <c r="W18" s="3">
        <v>47.48</v>
      </c>
      <c r="X18" s="3">
        <v>102.48</v>
      </c>
      <c r="Y18" s="3">
        <v>102</v>
      </c>
      <c r="Z18" s="3">
        <v>7.74</v>
      </c>
      <c r="AA18" s="3">
        <v>4.95</v>
      </c>
      <c r="AB18" s="3">
        <v>50.81</v>
      </c>
      <c r="AC18" s="3">
        <v>99.52</v>
      </c>
      <c r="AD18" s="3">
        <v>93</v>
      </c>
      <c r="AE18" s="3">
        <v>7.97</v>
      </c>
      <c r="AF18" s="3">
        <v>4.9800000000000004</v>
      </c>
      <c r="AG18" s="3">
        <v>49.19</v>
      </c>
      <c r="AH18" s="3"/>
    </row>
    <row r="19" spans="1:34" ht="18" customHeight="1" x14ac:dyDescent="0.3">
      <c r="A19" s="3" t="s">
        <v>33</v>
      </c>
      <c r="B19" s="4" t="s">
        <v>52</v>
      </c>
      <c r="C19" s="4" t="s">
        <v>43</v>
      </c>
      <c r="D19" s="3">
        <v>19</v>
      </c>
      <c r="E19" s="3">
        <v>30</v>
      </c>
      <c r="F19" s="5">
        <f t="shared" si="0"/>
        <v>1.5789473684210527</v>
      </c>
      <c r="G19" s="3">
        <v>14</v>
      </c>
      <c r="H19" s="6">
        <v>0</v>
      </c>
      <c r="I19" s="3">
        <v>370.91</v>
      </c>
      <c r="J19" s="3">
        <v>364.4</v>
      </c>
      <c r="K19" s="3">
        <v>31.24</v>
      </c>
      <c r="L19" s="3">
        <v>5.66</v>
      </c>
      <c r="M19" s="3">
        <v>108</v>
      </c>
      <c r="N19" s="3">
        <v>4.57</v>
      </c>
      <c r="O19" s="3">
        <v>268.57</v>
      </c>
      <c r="P19" s="3">
        <v>20.91</v>
      </c>
      <c r="Q19" s="3">
        <v>5.93</v>
      </c>
      <c r="R19" s="3">
        <v>33.270000000000003</v>
      </c>
      <c r="S19" s="3">
        <v>85</v>
      </c>
      <c r="T19" s="3">
        <v>81</v>
      </c>
      <c r="U19" s="3">
        <v>10.32</v>
      </c>
      <c r="V19" s="3">
        <v>6.36</v>
      </c>
      <c r="W19" s="3">
        <v>27.21</v>
      </c>
      <c r="X19" s="3">
        <v>96.57</v>
      </c>
      <c r="Y19" s="3">
        <v>89</v>
      </c>
      <c r="Z19" s="3">
        <v>14.14</v>
      </c>
      <c r="AA19" s="3">
        <v>5.29</v>
      </c>
      <c r="AB19" s="3">
        <v>44.5</v>
      </c>
      <c r="AC19" s="3">
        <v>87</v>
      </c>
      <c r="AD19" s="3">
        <v>81</v>
      </c>
      <c r="AE19" s="3">
        <v>7.57</v>
      </c>
      <c r="AF19" s="3">
        <v>6.04</v>
      </c>
      <c r="AG19" s="3">
        <v>30.68</v>
      </c>
      <c r="AH19" s="3"/>
    </row>
    <row r="20" spans="1:34" ht="18" customHeight="1" x14ac:dyDescent="0.3">
      <c r="A20" s="3" t="s">
        <v>33</v>
      </c>
      <c r="B20" s="4" t="s">
        <v>52</v>
      </c>
      <c r="C20" s="4" t="s">
        <v>44</v>
      </c>
      <c r="D20" s="3">
        <v>6</v>
      </c>
      <c r="E20" s="3">
        <v>28</v>
      </c>
      <c r="F20" s="5">
        <f t="shared" si="0"/>
        <v>4.666666666666667</v>
      </c>
      <c r="G20" s="3">
        <v>5</v>
      </c>
      <c r="H20" s="6">
        <v>7</v>
      </c>
      <c r="I20" s="3">
        <v>428.8</v>
      </c>
      <c r="J20" s="3">
        <v>426</v>
      </c>
      <c r="K20" s="3">
        <v>7.22</v>
      </c>
      <c r="L20" s="3">
        <v>4.3600000000000003</v>
      </c>
      <c r="M20" s="3">
        <v>122.6</v>
      </c>
      <c r="N20" s="3">
        <v>3</v>
      </c>
      <c r="O20" s="3">
        <v>306.2</v>
      </c>
      <c r="P20" s="3">
        <v>6.05</v>
      </c>
      <c r="Q20" s="3">
        <v>4.7</v>
      </c>
      <c r="R20" s="3">
        <v>53.6</v>
      </c>
      <c r="S20" s="3">
        <v>102</v>
      </c>
      <c r="T20" s="3">
        <v>96</v>
      </c>
      <c r="U20" s="3">
        <v>6.48</v>
      </c>
      <c r="V20" s="3">
        <v>4.8</v>
      </c>
      <c r="W20" s="3">
        <v>52.6</v>
      </c>
      <c r="X20" s="3">
        <v>98.2</v>
      </c>
      <c r="Y20" s="3">
        <v>96</v>
      </c>
      <c r="Z20" s="3">
        <v>13.15</v>
      </c>
      <c r="AA20" s="3">
        <v>5.2</v>
      </c>
      <c r="AB20" s="3">
        <v>44.4</v>
      </c>
      <c r="AC20" s="3">
        <v>106</v>
      </c>
      <c r="AD20" s="3">
        <v>103</v>
      </c>
      <c r="AE20" s="3">
        <v>10.56</v>
      </c>
      <c r="AF20" s="3">
        <v>4.4000000000000004</v>
      </c>
      <c r="AG20" s="3">
        <v>58.7</v>
      </c>
      <c r="AH20" s="3"/>
    </row>
    <row r="21" spans="1:34" ht="18" customHeight="1" x14ac:dyDescent="0.3">
      <c r="A21" s="3" t="s">
        <v>33</v>
      </c>
      <c r="B21" s="4" t="s">
        <v>52</v>
      </c>
      <c r="C21" s="4" t="s">
        <v>54</v>
      </c>
      <c r="D21" s="3">
        <v>11</v>
      </c>
      <c r="E21" s="3">
        <v>67</v>
      </c>
      <c r="F21" s="5">
        <f t="shared" si="0"/>
        <v>6.0909090909090908</v>
      </c>
      <c r="G21" s="8">
        <v>13</v>
      </c>
      <c r="H21" s="6">
        <v>10</v>
      </c>
      <c r="I21" s="3">
        <v>415.85</v>
      </c>
      <c r="J21" s="3">
        <v>412</v>
      </c>
      <c r="K21" s="3">
        <v>8.6199999999999992</v>
      </c>
      <c r="L21" s="3">
        <v>4.74</v>
      </c>
      <c r="M21" s="3">
        <v>116.77</v>
      </c>
      <c r="N21" s="3">
        <v>3.69</v>
      </c>
      <c r="O21" s="3">
        <v>299.08</v>
      </c>
      <c r="P21" s="3">
        <v>8.2799999999999994</v>
      </c>
      <c r="Q21" s="3">
        <v>5</v>
      </c>
      <c r="R21" s="3">
        <v>49.69</v>
      </c>
      <c r="S21" s="3">
        <v>102.62</v>
      </c>
      <c r="T21" s="3">
        <v>98</v>
      </c>
      <c r="U21" s="3">
        <v>8.56</v>
      </c>
      <c r="V21" s="3">
        <v>4.92</v>
      </c>
      <c r="W21" s="3">
        <v>53.46</v>
      </c>
      <c r="X21" s="3">
        <v>95.85</v>
      </c>
      <c r="Y21" s="3">
        <v>91</v>
      </c>
      <c r="Z21" s="3">
        <v>8.7100000000000009</v>
      </c>
      <c r="AA21" s="3">
        <v>5.38</v>
      </c>
      <c r="AB21" s="3">
        <v>43.46</v>
      </c>
      <c r="AC21" s="3">
        <v>100.62</v>
      </c>
      <c r="AD21" s="3">
        <v>96</v>
      </c>
      <c r="AE21" s="3">
        <v>8.74</v>
      </c>
      <c r="AF21" s="3">
        <v>4.8499999999999996</v>
      </c>
      <c r="AG21" s="3">
        <v>50.92</v>
      </c>
      <c r="AH21" s="3"/>
    </row>
    <row r="22" spans="1:34" ht="18" customHeight="1" x14ac:dyDescent="0.3">
      <c r="A22" s="3" t="s">
        <v>33</v>
      </c>
      <c r="B22" s="4" t="s">
        <v>52</v>
      </c>
      <c r="C22" s="4" t="s">
        <v>45</v>
      </c>
      <c r="D22" s="3">
        <v>67</v>
      </c>
      <c r="E22" s="3">
        <v>197</v>
      </c>
      <c r="F22" s="5">
        <f t="shared" si="0"/>
        <v>2.9402985074626864</v>
      </c>
      <c r="G22" s="3">
        <v>63</v>
      </c>
      <c r="H22" s="6">
        <v>43</v>
      </c>
      <c r="I22" s="3">
        <v>405.48</v>
      </c>
      <c r="J22" s="3">
        <v>399</v>
      </c>
      <c r="K22" s="3">
        <v>9.66</v>
      </c>
      <c r="L22" s="3">
        <v>5.07</v>
      </c>
      <c r="M22" s="3">
        <v>113.59</v>
      </c>
      <c r="N22" s="3">
        <v>4</v>
      </c>
      <c r="O22" s="3">
        <v>291.89</v>
      </c>
      <c r="P22" s="3">
        <v>10.039999999999999</v>
      </c>
      <c r="Q22" s="3">
        <v>5.34</v>
      </c>
      <c r="R22" s="3">
        <v>43.2</v>
      </c>
      <c r="S22" s="3">
        <v>95.76</v>
      </c>
      <c r="T22" s="3">
        <v>91</v>
      </c>
      <c r="U22" s="3">
        <v>8.93</v>
      </c>
      <c r="V22" s="3">
        <v>5.32</v>
      </c>
      <c r="W22" s="3">
        <v>42.68</v>
      </c>
      <c r="X22" s="3">
        <v>103.46</v>
      </c>
      <c r="Y22" s="3">
        <v>98</v>
      </c>
      <c r="Z22" s="3">
        <v>8.61</v>
      </c>
      <c r="AA22" s="3">
        <v>4.87</v>
      </c>
      <c r="AB22" s="3">
        <v>52.49</v>
      </c>
      <c r="AC22" s="3">
        <v>92.67</v>
      </c>
      <c r="AD22" s="3">
        <v>88</v>
      </c>
      <c r="AE22" s="3">
        <v>8.27</v>
      </c>
      <c r="AF22" s="3">
        <v>5.59</v>
      </c>
      <c r="AG22" s="3">
        <v>38.82</v>
      </c>
      <c r="AH22" s="3"/>
    </row>
    <row r="23" spans="1:34" ht="18" customHeight="1" x14ac:dyDescent="0.3">
      <c r="A23" s="3" t="s">
        <v>33</v>
      </c>
      <c r="B23" s="4" t="s">
        <v>52</v>
      </c>
      <c r="C23" s="4" t="s">
        <v>55</v>
      </c>
      <c r="D23" s="3">
        <v>55</v>
      </c>
      <c r="E23" s="3">
        <v>130</v>
      </c>
      <c r="F23" s="5">
        <f t="shared" si="0"/>
        <v>2.3636363636363638</v>
      </c>
      <c r="G23" s="3">
        <v>54</v>
      </c>
      <c r="H23" s="6">
        <v>32</v>
      </c>
      <c r="I23" s="3">
        <v>392.48</v>
      </c>
      <c r="J23" s="3">
        <v>379</v>
      </c>
      <c r="K23" s="3">
        <v>18.52</v>
      </c>
      <c r="L23" s="3">
        <v>5.29</v>
      </c>
      <c r="M23" s="3">
        <v>110.44</v>
      </c>
      <c r="N23" s="3">
        <v>4.3</v>
      </c>
      <c r="O23" s="3">
        <v>282.04000000000002</v>
      </c>
      <c r="P23" s="3">
        <v>15.83</v>
      </c>
      <c r="Q23" s="3">
        <v>5.54</v>
      </c>
      <c r="R23" s="3">
        <v>39.4</v>
      </c>
      <c r="S23" s="3">
        <v>92.54</v>
      </c>
      <c r="T23" s="3">
        <v>88</v>
      </c>
      <c r="U23" s="3">
        <v>9.75</v>
      </c>
      <c r="V23" s="3">
        <v>5.63</v>
      </c>
      <c r="W23" s="3">
        <v>37.89</v>
      </c>
      <c r="X23" s="3">
        <v>98.19</v>
      </c>
      <c r="Y23" s="3">
        <v>92</v>
      </c>
      <c r="Z23" s="3">
        <v>12.09</v>
      </c>
      <c r="AA23" s="3">
        <v>5.19</v>
      </c>
      <c r="AB23" s="3">
        <v>45.85</v>
      </c>
      <c r="AC23" s="3">
        <v>91.31</v>
      </c>
      <c r="AD23" s="3">
        <v>88</v>
      </c>
      <c r="AE23" s="3">
        <v>8.65</v>
      </c>
      <c r="AF23" s="3">
        <v>5.68</v>
      </c>
      <c r="AG23" s="3">
        <v>36.93</v>
      </c>
      <c r="AH23" s="3"/>
    </row>
    <row r="24" spans="1:34" ht="18" customHeight="1" x14ac:dyDescent="0.3">
      <c r="A24" s="3" t="s">
        <v>33</v>
      </c>
      <c r="B24" s="4" t="s">
        <v>56</v>
      </c>
      <c r="C24" s="4" t="s">
        <v>27</v>
      </c>
      <c r="D24" s="3">
        <v>36</v>
      </c>
      <c r="E24" s="3">
        <v>98</v>
      </c>
      <c r="F24" s="5">
        <f t="shared" si="0"/>
        <v>2.7222222222222223</v>
      </c>
      <c r="G24" s="3">
        <v>36</v>
      </c>
      <c r="H24" s="6">
        <v>24</v>
      </c>
      <c r="I24" s="3">
        <v>534.05999999999995</v>
      </c>
      <c r="J24" s="3">
        <v>533</v>
      </c>
      <c r="K24" s="3">
        <v>4.13</v>
      </c>
      <c r="L24" s="3">
        <v>1.4</v>
      </c>
      <c r="M24" s="3">
        <v>132.91999999999999</v>
      </c>
      <c r="N24" s="3">
        <v>1.42</v>
      </c>
      <c r="O24" s="3">
        <v>401.14</v>
      </c>
      <c r="P24" s="3">
        <v>4.16</v>
      </c>
      <c r="Q24" s="3">
        <v>1.4</v>
      </c>
      <c r="R24" s="3">
        <v>95.42</v>
      </c>
      <c r="S24" s="3">
        <v>138.47</v>
      </c>
      <c r="T24" s="3">
        <v>137</v>
      </c>
      <c r="U24" s="3">
        <v>5.3</v>
      </c>
      <c r="V24" s="3">
        <v>1.17</v>
      </c>
      <c r="W24" s="3">
        <v>97.69</v>
      </c>
      <c r="X24" s="3">
        <v>131.31</v>
      </c>
      <c r="Y24" s="3">
        <v>130</v>
      </c>
      <c r="Z24" s="3">
        <v>2.8</v>
      </c>
      <c r="AA24" s="3">
        <v>1.1399999999999999</v>
      </c>
      <c r="AB24" s="3">
        <v>97.56</v>
      </c>
      <c r="AC24" s="3">
        <v>131.36000000000001</v>
      </c>
      <c r="AD24" s="3">
        <v>129</v>
      </c>
      <c r="AE24" s="3">
        <v>4.5199999999999996</v>
      </c>
      <c r="AF24" s="3">
        <v>1.64</v>
      </c>
      <c r="AG24" s="3">
        <v>93.21</v>
      </c>
      <c r="AH24" s="3"/>
    </row>
    <row r="25" spans="1:34" ht="18" customHeight="1" x14ac:dyDescent="0.3">
      <c r="A25" s="3" t="s">
        <v>33</v>
      </c>
      <c r="B25" s="4" t="s">
        <v>56</v>
      </c>
      <c r="C25" s="4" t="s">
        <v>34</v>
      </c>
      <c r="D25" s="3">
        <v>6</v>
      </c>
      <c r="E25" s="3">
        <v>36</v>
      </c>
      <c r="F25" s="5">
        <f t="shared" si="0"/>
        <v>6</v>
      </c>
      <c r="G25" s="3">
        <v>6</v>
      </c>
      <c r="H25" s="6">
        <v>7</v>
      </c>
      <c r="I25" s="3">
        <v>528.33000000000004</v>
      </c>
      <c r="J25" s="3">
        <v>528</v>
      </c>
      <c r="K25" s="3">
        <v>2.69</v>
      </c>
      <c r="L25" s="3">
        <v>1.63</v>
      </c>
      <c r="M25" s="3">
        <v>134.16999999999999</v>
      </c>
      <c r="N25" s="3">
        <v>1.17</v>
      </c>
      <c r="O25" s="3">
        <v>394.17</v>
      </c>
      <c r="P25" s="3">
        <v>3.18</v>
      </c>
      <c r="Q25" s="3">
        <v>1.75</v>
      </c>
      <c r="R25" s="3">
        <v>92.92</v>
      </c>
      <c r="S25" s="3">
        <v>138.83000000000001</v>
      </c>
      <c r="T25" s="3">
        <v>137</v>
      </c>
      <c r="U25" s="3">
        <v>4.37</v>
      </c>
      <c r="V25" s="3">
        <v>1.17</v>
      </c>
      <c r="W25" s="3">
        <v>98</v>
      </c>
      <c r="X25" s="3">
        <v>125</v>
      </c>
      <c r="Y25" s="3">
        <v>124</v>
      </c>
      <c r="Z25" s="3">
        <v>3.32</v>
      </c>
      <c r="AA25" s="3">
        <v>2.17</v>
      </c>
      <c r="AB25" s="3">
        <v>89.17</v>
      </c>
      <c r="AC25" s="3">
        <v>130.33000000000001</v>
      </c>
      <c r="AD25" s="3">
        <v>129</v>
      </c>
      <c r="AE25" s="3">
        <v>3.4</v>
      </c>
      <c r="AF25" s="3">
        <v>1.83</v>
      </c>
      <c r="AG25" s="3">
        <v>92.25</v>
      </c>
      <c r="AH25" s="3"/>
    </row>
    <row r="26" spans="1:34" ht="18" customHeight="1" x14ac:dyDescent="0.3">
      <c r="A26" s="3" t="s">
        <v>33</v>
      </c>
      <c r="B26" s="4" t="s">
        <v>57</v>
      </c>
      <c r="C26" s="4" t="s">
        <v>53</v>
      </c>
      <c r="D26" s="3">
        <v>2</v>
      </c>
      <c r="E26" s="3">
        <v>4</v>
      </c>
      <c r="F26" s="5">
        <f t="shared" si="0"/>
        <v>2</v>
      </c>
      <c r="G26" s="3">
        <v>2</v>
      </c>
      <c r="H26" s="6">
        <v>2</v>
      </c>
      <c r="I26" s="3">
        <v>398</v>
      </c>
      <c r="J26" s="3">
        <v>411</v>
      </c>
      <c r="K26" s="3">
        <v>13</v>
      </c>
      <c r="L26" s="3">
        <v>5.6</v>
      </c>
      <c r="M26" s="3">
        <v>113</v>
      </c>
      <c r="N26" s="3">
        <v>4</v>
      </c>
      <c r="O26" s="3">
        <v>285</v>
      </c>
      <c r="P26" s="3">
        <v>3</v>
      </c>
      <c r="Q26" s="3">
        <v>6</v>
      </c>
      <c r="R26" s="3">
        <v>35.630000000000003</v>
      </c>
      <c r="S26" s="3">
        <v>93</v>
      </c>
      <c r="T26" s="3">
        <v>104</v>
      </c>
      <c r="U26" s="3">
        <v>11</v>
      </c>
      <c r="V26" s="3">
        <v>6</v>
      </c>
      <c r="W26" s="3">
        <v>39</v>
      </c>
      <c r="X26" s="3">
        <v>111</v>
      </c>
      <c r="Y26" s="3">
        <v>117</v>
      </c>
      <c r="Z26" s="3">
        <v>6</v>
      </c>
      <c r="AA26" s="3">
        <v>4.5</v>
      </c>
      <c r="AB26" s="3">
        <v>62.5</v>
      </c>
      <c r="AC26" s="3">
        <v>81</v>
      </c>
      <c r="AD26" s="3">
        <v>83</v>
      </c>
      <c r="AE26" s="3">
        <v>2</v>
      </c>
      <c r="AF26" s="3">
        <v>6.75</v>
      </c>
      <c r="AG26" s="3">
        <v>20.5</v>
      </c>
      <c r="AH26" s="3"/>
    </row>
    <row r="27" spans="1:34" ht="18" customHeight="1" x14ac:dyDescent="0.3">
      <c r="A27" s="3" t="s">
        <v>33</v>
      </c>
      <c r="B27" s="4" t="s">
        <v>57</v>
      </c>
      <c r="C27" s="4" t="s">
        <v>41</v>
      </c>
      <c r="D27" s="3">
        <v>3</v>
      </c>
      <c r="E27" s="3">
        <v>4</v>
      </c>
      <c r="F27" s="5">
        <f t="shared" si="0"/>
        <v>1.3333333333333333</v>
      </c>
      <c r="G27" s="3">
        <v>3</v>
      </c>
      <c r="H27" s="6">
        <v>1</v>
      </c>
      <c r="I27" s="3">
        <v>377</v>
      </c>
      <c r="J27" s="3">
        <v>366</v>
      </c>
      <c r="K27" s="3">
        <v>18.46</v>
      </c>
      <c r="L27" s="3">
        <v>5.53</v>
      </c>
      <c r="M27" s="3">
        <v>106.67</v>
      </c>
      <c r="N27" s="3">
        <v>4.67</v>
      </c>
      <c r="O27" s="3">
        <v>270.33</v>
      </c>
      <c r="P27" s="3">
        <v>21.17</v>
      </c>
      <c r="Q27" s="3">
        <v>5.75</v>
      </c>
      <c r="R27" s="3">
        <v>37.17</v>
      </c>
      <c r="S27" s="3">
        <v>91.33</v>
      </c>
      <c r="T27" s="3">
        <v>87</v>
      </c>
      <c r="U27" s="3">
        <v>10.66</v>
      </c>
      <c r="V27" s="3">
        <v>6</v>
      </c>
      <c r="W27" s="3">
        <v>36.33</v>
      </c>
      <c r="X27" s="3">
        <v>84.33</v>
      </c>
      <c r="Y27" s="3">
        <v>89</v>
      </c>
      <c r="Z27" s="3">
        <v>8.06</v>
      </c>
      <c r="AA27" s="3">
        <v>6.67</v>
      </c>
      <c r="AB27" s="3">
        <v>28</v>
      </c>
      <c r="AC27" s="3">
        <v>94.67</v>
      </c>
      <c r="AD27" s="3">
        <v>92</v>
      </c>
      <c r="AE27" s="3">
        <v>6.02</v>
      </c>
      <c r="AF27" s="3">
        <v>5.17</v>
      </c>
      <c r="AG27" s="3">
        <v>42.17</v>
      </c>
      <c r="AH27" s="3"/>
    </row>
    <row r="28" spans="1:34" ht="18" customHeight="1" x14ac:dyDescent="0.3">
      <c r="A28" s="3" t="s">
        <v>33</v>
      </c>
      <c r="B28" s="4" t="s">
        <v>57</v>
      </c>
      <c r="C28" s="4" t="s">
        <v>42</v>
      </c>
      <c r="D28" s="3">
        <v>3</v>
      </c>
      <c r="E28" s="3">
        <v>4</v>
      </c>
      <c r="F28" s="5">
        <f t="shared" si="0"/>
        <v>1.3333333333333333</v>
      </c>
      <c r="G28" s="3">
        <v>3</v>
      </c>
      <c r="H28" s="6">
        <v>0</v>
      </c>
      <c r="I28" s="3">
        <v>366.67</v>
      </c>
      <c r="J28" s="3">
        <v>375</v>
      </c>
      <c r="K28" s="3">
        <v>36</v>
      </c>
      <c r="L28" s="3">
        <v>5.87</v>
      </c>
      <c r="M28" s="3">
        <v>106.67</v>
      </c>
      <c r="N28" s="3">
        <v>4.67</v>
      </c>
      <c r="O28" s="3">
        <v>260</v>
      </c>
      <c r="P28" s="3">
        <v>35.520000000000003</v>
      </c>
      <c r="Q28" s="3">
        <v>6.17</v>
      </c>
      <c r="R28" s="3">
        <v>29.83</v>
      </c>
      <c r="S28" s="3">
        <v>87</v>
      </c>
      <c r="T28" s="3">
        <v>87</v>
      </c>
      <c r="U28" s="3">
        <v>7.35</v>
      </c>
      <c r="V28" s="3">
        <v>6</v>
      </c>
      <c r="W28" s="3">
        <v>29.67</v>
      </c>
      <c r="X28" s="3">
        <v>86.33</v>
      </c>
      <c r="Y28" s="3">
        <v>86</v>
      </c>
      <c r="Z28" s="3">
        <v>17.559999999999999</v>
      </c>
      <c r="AA28" s="3">
        <v>6.67</v>
      </c>
      <c r="AB28" s="3">
        <v>29.67</v>
      </c>
      <c r="AC28" s="3">
        <v>86.67</v>
      </c>
      <c r="AD28" s="3">
        <v>88</v>
      </c>
      <c r="AE28" s="3">
        <v>10.66</v>
      </c>
      <c r="AF28" s="3">
        <v>6</v>
      </c>
      <c r="AG28" s="3">
        <v>30</v>
      </c>
      <c r="AH28" s="3"/>
    </row>
    <row r="29" spans="1:34" ht="18" customHeight="1" x14ac:dyDescent="0.3">
      <c r="A29" s="3" t="s">
        <v>33</v>
      </c>
      <c r="B29" s="4" t="s">
        <v>57</v>
      </c>
      <c r="C29" s="4" t="s">
        <v>44</v>
      </c>
      <c r="D29" s="3">
        <v>2</v>
      </c>
      <c r="E29" s="3">
        <v>3</v>
      </c>
      <c r="F29" s="5">
        <f t="shared" si="0"/>
        <v>1.5</v>
      </c>
      <c r="G29" s="3">
        <v>2</v>
      </c>
      <c r="H29" s="6">
        <v>0</v>
      </c>
      <c r="I29" s="3">
        <v>373.5</v>
      </c>
      <c r="J29" s="3">
        <v>388</v>
      </c>
      <c r="K29" s="3">
        <v>14.5</v>
      </c>
      <c r="L29" s="3">
        <v>5.7</v>
      </c>
      <c r="M29" s="3">
        <v>100.5</v>
      </c>
      <c r="N29" s="3">
        <v>5.5</v>
      </c>
      <c r="O29" s="3">
        <v>273</v>
      </c>
      <c r="P29" s="3">
        <v>1</v>
      </c>
      <c r="Q29" s="3">
        <v>5.75</v>
      </c>
      <c r="R29" s="3">
        <v>36.5</v>
      </c>
      <c r="S29" s="3">
        <v>94.5</v>
      </c>
      <c r="T29" s="3">
        <v>98</v>
      </c>
      <c r="U29" s="3">
        <v>3.5</v>
      </c>
      <c r="V29" s="3">
        <v>5.5</v>
      </c>
      <c r="W29" s="3">
        <v>40.5</v>
      </c>
      <c r="X29" s="3">
        <v>86</v>
      </c>
      <c r="Y29" s="3">
        <v>96</v>
      </c>
      <c r="Z29" s="3">
        <v>10</v>
      </c>
      <c r="AA29" s="3">
        <v>6</v>
      </c>
      <c r="AB29" s="3">
        <v>30.5</v>
      </c>
      <c r="AC29" s="3">
        <v>92.5</v>
      </c>
      <c r="AD29" s="3">
        <v>100</v>
      </c>
      <c r="AE29" s="3">
        <v>7.5</v>
      </c>
      <c r="AF29" s="3">
        <v>5.75</v>
      </c>
      <c r="AG29" s="3">
        <v>37.5</v>
      </c>
      <c r="AH29" s="3"/>
    </row>
    <row r="30" spans="1:34" ht="18" customHeight="1" x14ac:dyDescent="0.3">
      <c r="A30" s="3" t="s">
        <v>33</v>
      </c>
      <c r="B30" s="4" t="s">
        <v>57</v>
      </c>
      <c r="C30" s="4" t="s">
        <v>54</v>
      </c>
      <c r="D30" s="3">
        <v>5</v>
      </c>
      <c r="E30" s="3">
        <v>4</v>
      </c>
      <c r="F30" s="5">
        <f t="shared" si="0"/>
        <v>0.8</v>
      </c>
      <c r="G30" s="3">
        <v>3</v>
      </c>
      <c r="H30" s="6" t="s">
        <v>62</v>
      </c>
      <c r="I30" s="3">
        <v>356.33</v>
      </c>
      <c r="J30" s="3">
        <v>375</v>
      </c>
      <c r="K30" s="3">
        <v>39.04</v>
      </c>
      <c r="L30" s="3">
        <v>6.2</v>
      </c>
      <c r="M30" s="3">
        <v>103.33</v>
      </c>
      <c r="N30" s="3">
        <v>5.33</v>
      </c>
      <c r="O30" s="3">
        <v>253</v>
      </c>
      <c r="P30" s="3">
        <v>24.34</v>
      </c>
      <c r="Q30" s="3">
        <v>6.42</v>
      </c>
      <c r="R30" s="3">
        <v>28.58</v>
      </c>
      <c r="S30" s="3">
        <v>85.67</v>
      </c>
      <c r="T30" s="3">
        <v>92</v>
      </c>
      <c r="U30" s="3">
        <v>9.67</v>
      </c>
      <c r="V30" s="3">
        <v>6.67</v>
      </c>
      <c r="W30" s="3">
        <v>28</v>
      </c>
      <c r="X30" s="3">
        <v>81.67</v>
      </c>
      <c r="Y30" s="3">
        <v>85</v>
      </c>
      <c r="Z30" s="3">
        <v>5.44</v>
      </c>
      <c r="AA30" s="3">
        <v>6.33</v>
      </c>
      <c r="AB30" s="3">
        <v>25.67</v>
      </c>
      <c r="AC30" s="3">
        <v>85.67</v>
      </c>
      <c r="AD30" s="3">
        <v>84</v>
      </c>
      <c r="AE30" s="3">
        <v>10.27</v>
      </c>
      <c r="AF30" s="3">
        <v>6.33</v>
      </c>
      <c r="AG30" s="3">
        <v>30.33</v>
      </c>
      <c r="AH30" s="3"/>
    </row>
    <row r="31" spans="1:34" ht="18" customHeight="1" x14ac:dyDescent="0.3">
      <c r="A31" s="3" t="s">
        <v>33</v>
      </c>
      <c r="B31" s="4" t="s">
        <v>57</v>
      </c>
      <c r="C31" s="4" t="s">
        <v>45</v>
      </c>
      <c r="D31" s="3">
        <v>4</v>
      </c>
      <c r="E31" s="3">
        <v>4</v>
      </c>
      <c r="F31" s="5">
        <f t="shared" si="0"/>
        <v>1</v>
      </c>
      <c r="G31" s="3">
        <v>2</v>
      </c>
      <c r="H31" s="6" t="s">
        <v>62</v>
      </c>
      <c r="I31" s="3">
        <v>361</v>
      </c>
      <c r="J31" s="3">
        <v>369</v>
      </c>
      <c r="K31" s="3">
        <v>8</v>
      </c>
      <c r="L31" s="3">
        <v>5.9</v>
      </c>
      <c r="M31" s="3">
        <v>103</v>
      </c>
      <c r="N31" s="3">
        <v>5</v>
      </c>
      <c r="O31" s="3">
        <v>258</v>
      </c>
      <c r="P31" s="3">
        <v>8</v>
      </c>
      <c r="Q31" s="3">
        <v>6.13</v>
      </c>
      <c r="R31" s="3">
        <v>31.25</v>
      </c>
      <c r="S31" s="3">
        <v>88</v>
      </c>
      <c r="T31" s="3">
        <v>94</v>
      </c>
      <c r="U31" s="3">
        <v>6</v>
      </c>
      <c r="V31" s="3">
        <v>6</v>
      </c>
      <c r="W31" s="3">
        <v>31</v>
      </c>
      <c r="X31" s="3">
        <v>81</v>
      </c>
      <c r="Y31" s="3">
        <v>85</v>
      </c>
      <c r="Z31" s="3">
        <v>4</v>
      </c>
      <c r="AA31" s="3">
        <v>6.5</v>
      </c>
      <c r="AB31" s="3">
        <v>25.5</v>
      </c>
      <c r="AC31" s="3">
        <v>89</v>
      </c>
      <c r="AD31" s="3">
        <v>95</v>
      </c>
      <c r="AE31" s="3">
        <v>6</v>
      </c>
      <c r="AF31" s="3">
        <v>6</v>
      </c>
      <c r="AG31" s="3">
        <v>34.25</v>
      </c>
      <c r="AH31" s="3"/>
    </row>
    <row r="32" spans="1:34" ht="18" customHeight="1" x14ac:dyDescent="0.3">
      <c r="A32" s="3" t="s">
        <v>33</v>
      </c>
      <c r="B32" s="4" t="s">
        <v>58</v>
      </c>
      <c r="C32" s="4" t="s">
        <v>34</v>
      </c>
      <c r="D32" s="3">
        <v>3</v>
      </c>
      <c r="E32" s="3">
        <v>21</v>
      </c>
      <c r="F32" s="5">
        <f t="shared" si="0"/>
        <v>7</v>
      </c>
      <c r="G32" s="3">
        <v>3</v>
      </c>
      <c r="H32" s="6">
        <v>0</v>
      </c>
      <c r="I32" s="3">
        <v>494.33</v>
      </c>
      <c r="J32" s="3">
        <v>494</v>
      </c>
      <c r="K32" s="3">
        <v>1.25</v>
      </c>
      <c r="L32" s="3">
        <v>2.73</v>
      </c>
      <c r="M32" s="3">
        <v>125.33</v>
      </c>
      <c r="N32" s="3">
        <v>2.67</v>
      </c>
      <c r="O32" s="3">
        <v>369</v>
      </c>
      <c r="P32" s="3">
        <v>2.16</v>
      </c>
      <c r="Q32" s="3">
        <v>2.75</v>
      </c>
      <c r="R32" s="3">
        <v>82.83</v>
      </c>
      <c r="S32" s="3">
        <v>127.67</v>
      </c>
      <c r="T32" s="3">
        <v>130</v>
      </c>
      <c r="U32" s="3">
        <v>3.3</v>
      </c>
      <c r="V32" s="3">
        <v>2.33</v>
      </c>
      <c r="W32" s="3">
        <v>90.67</v>
      </c>
      <c r="X32" s="3">
        <v>120.33</v>
      </c>
      <c r="Y32" s="3">
        <v>119</v>
      </c>
      <c r="Z32" s="3">
        <v>2.62</v>
      </c>
      <c r="AA32" s="3">
        <v>3</v>
      </c>
      <c r="AB32" s="3">
        <v>79.33</v>
      </c>
      <c r="AC32" s="3">
        <v>121</v>
      </c>
      <c r="AD32" s="3">
        <v>122</v>
      </c>
      <c r="AE32" s="3">
        <v>2.94</v>
      </c>
      <c r="AF32" s="3">
        <v>2.83</v>
      </c>
      <c r="AG32" s="3">
        <v>80.67</v>
      </c>
      <c r="AH32" s="3"/>
    </row>
    <row r="33" spans="1:34" ht="18" customHeight="1" x14ac:dyDescent="0.3">
      <c r="A33" s="3" t="s">
        <v>33</v>
      </c>
      <c r="B33" s="4" t="s">
        <v>58</v>
      </c>
      <c r="C33" s="4" t="s">
        <v>53</v>
      </c>
      <c r="D33" s="3">
        <v>2</v>
      </c>
      <c r="E33" s="3">
        <v>2</v>
      </c>
      <c r="F33" s="5">
        <f t="shared" si="0"/>
        <v>1</v>
      </c>
      <c r="G33" s="8">
        <v>0</v>
      </c>
      <c r="H33" s="6" t="s">
        <v>62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7" t="s">
        <v>46</v>
      </c>
    </row>
    <row r="34" spans="1:34" ht="18" customHeight="1" x14ac:dyDescent="0.3">
      <c r="A34" s="3" t="s">
        <v>33</v>
      </c>
      <c r="B34" s="4" t="s">
        <v>58</v>
      </c>
      <c r="C34" s="4" t="s">
        <v>39</v>
      </c>
      <c r="D34" s="3">
        <v>2</v>
      </c>
      <c r="E34" s="3">
        <v>3</v>
      </c>
      <c r="F34" s="5">
        <f t="shared" si="0"/>
        <v>1.5</v>
      </c>
      <c r="G34" s="3">
        <v>2</v>
      </c>
      <c r="H34" s="6">
        <v>0</v>
      </c>
      <c r="I34" s="3">
        <v>390.5</v>
      </c>
      <c r="J34" s="3">
        <v>392</v>
      </c>
      <c r="K34" s="3">
        <v>1.5</v>
      </c>
      <c r="L34" s="3">
        <v>5.2</v>
      </c>
      <c r="M34" s="3">
        <v>103</v>
      </c>
      <c r="N34" s="3">
        <v>5</v>
      </c>
      <c r="O34" s="3">
        <v>287.5</v>
      </c>
      <c r="P34" s="3">
        <v>1.5</v>
      </c>
      <c r="Q34" s="3">
        <v>5.25</v>
      </c>
      <c r="R34" s="3">
        <v>43.5</v>
      </c>
      <c r="S34" s="3">
        <v>97.5</v>
      </c>
      <c r="T34" s="3">
        <v>99</v>
      </c>
      <c r="U34" s="3">
        <v>1.5</v>
      </c>
      <c r="V34" s="3">
        <v>5</v>
      </c>
      <c r="W34" s="3">
        <v>45</v>
      </c>
      <c r="X34" s="3">
        <v>93</v>
      </c>
      <c r="Y34" s="3">
        <v>100</v>
      </c>
      <c r="Z34" s="3">
        <v>7</v>
      </c>
      <c r="AA34" s="3">
        <v>5.5</v>
      </c>
      <c r="AB34" s="3">
        <v>40.5</v>
      </c>
      <c r="AC34" s="3">
        <v>97</v>
      </c>
      <c r="AD34" s="3">
        <v>104</v>
      </c>
      <c r="AE34" s="3">
        <v>7</v>
      </c>
      <c r="AF34" s="3">
        <v>5.25</v>
      </c>
      <c r="AG34" s="3">
        <v>44.25</v>
      </c>
      <c r="AH34" s="3"/>
    </row>
    <row r="35" spans="1:34" ht="18" customHeight="1" x14ac:dyDescent="0.3">
      <c r="A35" s="3" t="s">
        <v>33</v>
      </c>
      <c r="B35" s="4" t="s">
        <v>58</v>
      </c>
      <c r="C35" s="4" t="s">
        <v>41</v>
      </c>
      <c r="D35" s="3">
        <v>3</v>
      </c>
      <c r="E35" s="3">
        <v>6</v>
      </c>
      <c r="F35" s="5">
        <f t="shared" si="0"/>
        <v>2</v>
      </c>
      <c r="G35" s="3">
        <v>3</v>
      </c>
      <c r="H35" s="6">
        <v>1</v>
      </c>
      <c r="I35" s="3">
        <v>361.67</v>
      </c>
      <c r="J35" s="3">
        <v>357</v>
      </c>
      <c r="K35" s="3">
        <v>29.58</v>
      </c>
      <c r="L35" s="3">
        <v>6</v>
      </c>
      <c r="M35" s="3">
        <v>103.67</v>
      </c>
      <c r="N35" s="3">
        <v>5</v>
      </c>
      <c r="O35" s="3">
        <v>258</v>
      </c>
      <c r="P35" s="3">
        <v>17.91</v>
      </c>
      <c r="Q35" s="3">
        <v>6.25</v>
      </c>
      <c r="R35" s="3">
        <v>29.83</v>
      </c>
      <c r="S35" s="3">
        <v>93.67</v>
      </c>
      <c r="T35" s="3">
        <v>92</v>
      </c>
      <c r="U35" s="3">
        <v>3.09</v>
      </c>
      <c r="V35" s="3">
        <v>5.67</v>
      </c>
      <c r="W35" s="3">
        <v>39</v>
      </c>
      <c r="X35" s="3">
        <v>78.33</v>
      </c>
      <c r="Y35" s="3">
        <v>77</v>
      </c>
      <c r="Z35" s="3">
        <v>5.79</v>
      </c>
      <c r="AA35" s="3">
        <v>7</v>
      </c>
      <c r="AB35" s="3">
        <v>19.670000000000002</v>
      </c>
      <c r="AC35" s="3">
        <v>86</v>
      </c>
      <c r="AD35" s="3">
        <v>88</v>
      </c>
      <c r="AE35" s="3">
        <v>11.52</v>
      </c>
      <c r="AF35" s="3">
        <v>6.17</v>
      </c>
      <c r="AG35" s="3">
        <v>30.33</v>
      </c>
      <c r="AH35" s="3"/>
    </row>
    <row r="36" spans="1:34" ht="18" customHeight="1" x14ac:dyDescent="0.3">
      <c r="A36" s="3" t="s">
        <v>33</v>
      </c>
      <c r="B36" s="4" t="s">
        <v>58</v>
      </c>
      <c r="C36" s="4" t="s">
        <v>42</v>
      </c>
      <c r="D36" s="3">
        <v>2</v>
      </c>
      <c r="E36" s="3">
        <v>3</v>
      </c>
      <c r="F36" s="5">
        <f t="shared" si="0"/>
        <v>1.5</v>
      </c>
      <c r="G36" s="3">
        <v>1</v>
      </c>
      <c r="H36" s="6">
        <v>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7" t="s">
        <v>6</v>
      </c>
    </row>
    <row r="37" spans="1:34" ht="18" customHeight="1" x14ac:dyDescent="0.3">
      <c r="A37" s="9" t="s">
        <v>31</v>
      </c>
      <c r="B37" s="10"/>
      <c r="C37" s="10"/>
      <c r="D37" s="9"/>
      <c r="E37" s="9"/>
      <c r="F37" s="11"/>
      <c r="G37" s="9"/>
      <c r="H37" s="1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3"/>
    </row>
    <row r="38" spans="1:34" x14ac:dyDescent="0.3">
      <c r="V38" s="16"/>
      <c r="W38" s="17"/>
      <c r="X38" s="16"/>
      <c r="Y38" s="18"/>
      <c r="Z38" s="18"/>
      <c r="AA38" s="18"/>
      <c r="AB38" s="17"/>
      <c r="AC38" s="18"/>
      <c r="AD38" s="18"/>
      <c r="AE38" s="18"/>
    </row>
    <row r="39" spans="1:34" ht="16.5" customHeight="1" x14ac:dyDescent="0.3">
      <c r="A39" s="47" t="s">
        <v>0</v>
      </c>
      <c r="B39" s="37" t="s">
        <v>8</v>
      </c>
      <c r="C39" s="37" t="s">
        <v>1</v>
      </c>
      <c r="D39" s="37" t="s">
        <v>9</v>
      </c>
      <c r="E39" s="37" t="s">
        <v>2</v>
      </c>
      <c r="F39" s="36" t="s">
        <v>10</v>
      </c>
      <c r="G39" s="37" t="s">
        <v>11</v>
      </c>
      <c r="H39" s="37" t="s">
        <v>28</v>
      </c>
      <c r="I39" s="40" t="s">
        <v>49</v>
      </c>
      <c r="J39" s="41"/>
      <c r="K39" s="41"/>
      <c r="L39" s="42"/>
      <c r="M39" s="46" t="s">
        <v>32</v>
      </c>
      <c r="N39" s="46"/>
      <c r="O39" s="46"/>
      <c r="P39" s="46"/>
      <c r="Q39" s="38" t="s">
        <v>29</v>
      </c>
      <c r="R39" s="38"/>
      <c r="S39" s="38"/>
      <c r="V39" s="16"/>
      <c r="W39" s="9"/>
      <c r="X39" s="16"/>
      <c r="Y39" s="9"/>
      <c r="Z39" s="18"/>
      <c r="AA39" s="18"/>
      <c r="AB39" s="17"/>
      <c r="AC39" s="18"/>
      <c r="AD39" s="18"/>
      <c r="AE39" s="18"/>
    </row>
    <row r="40" spans="1:34" x14ac:dyDescent="0.3">
      <c r="A40" s="47"/>
      <c r="B40" s="37"/>
      <c r="C40" s="37"/>
      <c r="D40" s="37"/>
      <c r="E40" s="37"/>
      <c r="F40" s="36"/>
      <c r="G40" s="37"/>
      <c r="H40" s="37"/>
      <c r="I40" s="43"/>
      <c r="J40" s="44"/>
      <c r="K40" s="44"/>
      <c r="L40" s="45"/>
      <c r="M40" s="46"/>
      <c r="N40" s="46"/>
      <c r="O40" s="46"/>
      <c r="P40" s="46"/>
      <c r="Q40" s="38"/>
      <c r="R40" s="38"/>
      <c r="S40" s="38"/>
      <c r="T40" s="19"/>
      <c r="U40" s="19"/>
      <c r="V40" s="16"/>
      <c r="W40" s="9"/>
      <c r="X40" s="16"/>
      <c r="Y40" s="9"/>
      <c r="Z40" s="18"/>
      <c r="AA40" s="18"/>
      <c r="AB40" s="17"/>
      <c r="AC40" s="18"/>
      <c r="AD40" s="18"/>
      <c r="AE40" s="18"/>
    </row>
    <row r="41" spans="1:34" x14ac:dyDescent="0.3">
      <c r="A41" s="47"/>
      <c r="B41" s="37"/>
      <c r="C41" s="37"/>
      <c r="D41" s="37"/>
      <c r="E41" s="37"/>
      <c r="F41" s="36"/>
      <c r="G41" s="37"/>
      <c r="H41" s="37"/>
      <c r="I41" s="29" t="s">
        <v>51</v>
      </c>
      <c r="J41" s="30" t="s">
        <v>47</v>
      </c>
      <c r="K41" s="29" t="s">
        <v>50</v>
      </c>
      <c r="L41" s="29" t="s">
        <v>48</v>
      </c>
      <c r="M41" s="30" t="s">
        <v>51</v>
      </c>
      <c r="N41" s="30" t="s">
        <v>30</v>
      </c>
      <c r="O41" s="30" t="s">
        <v>26</v>
      </c>
      <c r="P41" s="30" t="s">
        <v>48</v>
      </c>
      <c r="Q41" s="38"/>
      <c r="R41" s="38"/>
      <c r="S41" s="38"/>
      <c r="T41" s="19"/>
      <c r="U41" s="19"/>
      <c r="V41" s="16"/>
      <c r="W41" s="9"/>
      <c r="X41" s="16"/>
      <c r="Y41" s="9"/>
      <c r="Z41" s="18"/>
      <c r="AA41" s="18"/>
      <c r="AB41" s="17"/>
      <c r="AC41" s="18"/>
      <c r="AD41" s="18"/>
      <c r="AE41" s="18"/>
    </row>
    <row r="42" spans="1:34" ht="18" customHeight="1" x14ac:dyDescent="0.3">
      <c r="A42" s="20">
        <v>2026</v>
      </c>
      <c r="B42" s="4" t="s">
        <v>64</v>
      </c>
      <c r="C42" s="4" t="s">
        <v>5</v>
      </c>
      <c r="D42" s="3">
        <v>4</v>
      </c>
      <c r="E42" s="3">
        <v>12</v>
      </c>
      <c r="F42" s="3">
        <v>3</v>
      </c>
      <c r="G42" s="21">
        <v>4</v>
      </c>
      <c r="H42" s="3">
        <v>8</v>
      </c>
      <c r="I42" s="22">
        <v>20</v>
      </c>
      <c r="J42" s="33">
        <v>8.57</v>
      </c>
      <c r="K42" s="22">
        <v>8.1300000000000008</v>
      </c>
      <c r="L42" s="22">
        <v>8.1300000000000008</v>
      </c>
      <c r="M42" s="22">
        <v>80</v>
      </c>
      <c r="N42" s="33">
        <v>70.67</v>
      </c>
      <c r="O42" s="22">
        <v>65.87</v>
      </c>
      <c r="P42" s="33">
        <v>68.8</v>
      </c>
      <c r="Q42" s="39"/>
      <c r="R42" s="39"/>
      <c r="S42" s="39"/>
      <c r="T42" s="19"/>
      <c r="U42" s="19"/>
      <c r="V42" s="16"/>
      <c r="W42" s="9"/>
      <c r="X42" s="16"/>
      <c r="Y42" s="9"/>
      <c r="Z42" s="18"/>
      <c r="AA42" s="18"/>
      <c r="AB42" s="17"/>
      <c r="AC42" s="18"/>
      <c r="AD42" s="18"/>
      <c r="AE42" s="18"/>
    </row>
    <row r="43" spans="1:34" x14ac:dyDescent="0.3">
      <c r="T43" s="23"/>
      <c r="U43" s="23"/>
      <c r="V43" s="16"/>
      <c r="W43" s="17"/>
      <c r="X43" s="16"/>
      <c r="Y43" s="9"/>
      <c r="Z43" s="18"/>
      <c r="AA43" s="18"/>
      <c r="AB43" s="17"/>
      <c r="AC43" s="18"/>
      <c r="AD43" s="18"/>
      <c r="AE43" s="18"/>
    </row>
    <row r="44" spans="1:34" ht="16.5" customHeight="1" x14ac:dyDescent="0.3">
      <c r="A44" s="47" t="s">
        <v>0</v>
      </c>
      <c r="B44" s="37" t="s">
        <v>8</v>
      </c>
      <c r="C44" s="37" t="s">
        <v>1</v>
      </c>
      <c r="D44" s="37" t="s">
        <v>9</v>
      </c>
      <c r="E44" s="37" t="s">
        <v>2</v>
      </c>
      <c r="F44" s="36" t="s">
        <v>10</v>
      </c>
      <c r="G44" s="37" t="s">
        <v>11</v>
      </c>
      <c r="H44" s="37" t="s">
        <v>28</v>
      </c>
      <c r="I44" s="37" t="s">
        <v>60</v>
      </c>
      <c r="J44" s="37"/>
      <c r="K44" s="37"/>
      <c r="L44" s="37"/>
      <c r="M44" s="46" t="s">
        <v>63</v>
      </c>
      <c r="N44" s="46"/>
      <c r="O44" s="46"/>
      <c r="P44" s="46"/>
      <c r="Q44" s="38" t="s">
        <v>29</v>
      </c>
      <c r="R44" s="38"/>
      <c r="S44" s="38"/>
      <c r="V44" s="16"/>
      <c r="W44" s="17"/>
      <c r="X44" s="16"/>
      <c r="Y44" s="9"/>
      <c r="Z44" s="18"/>
      <c r="AA44" s="18"/>
      <c r="AB44" s="17"/>
      <c r="AC44" s="18"/>
      <c r="AD44" s="18"/>
      <c r="AE44" s="18"/>
    </row>
    <row r="45" spans="1:34" x14ac:dyDescent="0.3">
      <c r="A45" s="47"/>
      <c r="B45" s="37"/>
      <c r="C45" s="37"/>
      <c r="D45" s="37"/>
      <c r="E45" s="37"/>
      <c r="F45" s="36"/>
      <c r="G45" s="37"/>
      <c r="H45" s="37"/>
      <c r="I45" s="37"/>
      <c r="J45" s="37"/>
      <c r="K45" s="37"/>
      <c r="L45" s="37"/>
      <c r="M45" s="46"/>
      <c r="N45" s="46"/>
      <c r="O45" s="46"/>
      <c r="P45" s="46"/>
      <c r="Q45" s="38"/>
      <c r="R45" s="38"/>
      <c r="S45" s="38"/>
      <c r="T45" s="19"/>
      <c r="U45" s="19"/>
      <c r="V45" s="16"/>
      <c r="W45" s="17"/>
      <c r="X45" s="16"/>
      <c r="Y45" s="9"/>
      <c r="Z45" s="18"/>
      <c r="AA45" s="18"/>
      <c r="AB45" s="17"/>
      <c r="AC45" s="18"/>
      <c r="AD45" s="18"/>
      <c r="AE45" s="18"/>
    </row>
    <row r="46" spans="1:34" x14ac:dyDescent="0.3">
      <c r="A46" s="47"/>
      <c r="B46" s="37"/>
      <c r="C46" s="37"/>
      <c r="D46" s="37"/>
      <c r="E46" s="37"/>
      <c r="F46" s="36"/>
      <c r="G46" s="37"/>
      <c r="H46" s="37"/>
      <c r="I46" s="29" t="s">
        <v>51</v>
      </c>
      <c r="J46" s="31" t="s">
        <v>61</v>
      </c>
      <c r="K46" s="29" t="s">
        <v>24</v>
      </c>
      <c r="L46" s="29" t="s">
        <v>48</v>
      </c>
      <c r="M46" s="30" t="s">
        <v>51</v>
      </c>
      <c r="N46" s="30" t="s">
        <v>30</v>
      </c>
      <c r="O46" s="30" t="s">
        <v>26</v>
      </c>
      <c r="P46" s="30" t="s">
        <v>48</v>
      </c>
      <c r="Q46" s="38"/>
      <c r="R46" s="38"/>
      <c r="S46" s="38"/>
      <c r="T46" s="19"/>
      <c r="U46" s="19"/>
      <c r="V46" s="16"/>
      <c r="W46" s="17"/>
      <c r="X46" s="16"/>
      <c r="Y46" s="9"/>
      <c r="Z46" s="18"/>
      <c r="AA46" s="18"/>
      <c r="AB46" s="17"/>
      <c r="AC46" s="18"/>
      <c r="AD46" s="18"/>
      <c r="AE46" s="18"/>
    </row>
    <row r="47" spans="1:34" x14ac:dyDescent="0.3">
      <c r="A47" s="20">
        <v>2026</v>
      </c>
      <c r="B47" s="4" t="s">
        <v>64</v>
      </c>
      <c r="C47" s="4" t="s">
        <v>59</v>
      </c>
      <c r="D47" s="3">
        <v>9</v>
      </c>
      <c r="E47" s="3">
        <v>13</v>
      </c>
      <c r="F47" s="3">
        <v>1.44</v>
      </c>
      <c r="G47" s="21">
        <v>8</v>
      </c>
      <c r="H47" s="3">
        <v>2</v>
      </c>
      <c r="I47" s="22">
        <v>10</v>
      </c>
      <c r="J47" s="34">
        <v>2.2999999999999998</v>
      </c>
      <c r="K47" s="22">
        <v>4.24</v>
      </c>
      <c r="L47" s="22">
        <v>4.8</v>
      </c>
      <c r="M47" s="22">
        <v>90</v>
      </c>
      <c r="N47" s="33">
        <v>87</v>
      </c>
      <c r="O47" s="22">
        <v>82.93</v>
      </c>
      <c r="P47" s="33">
        <v>86.19</v>
      </c>
      <c r="Q47" s="51"/>
      <c r="R47" s="51"/>
      <c r="S47" s="51"/>
      <c r="T47" s="19"/>
      <c r="U47" s="19"/>
      <c r="V47" s="16"/>
      <c r="W47" s="17"/>
      <c r="X47" s="16"/>
      <c r="Y47" s="18"/>
      <c r="Z47" s="18"/>
      <c r="AA47" s="18"/>
      <c r="AB47" s="17"/>
      <c r="AC47" s="18"/>
      <c r="AD47" s="18"/>
      <c r="AE47" s="18"/>
    </row>
    <row r="48" spans="1:34" x14ac:dyDescent="0.3">
      <c r="V48" s="16"/>
      <c r="W48" s="17"/>
      <c r="X48" s="16"/>
      <c r="Y48" s="18"/>
      <c r="Z48" s="18"/>
      <c r="AA48" s="18"/>
      <c r="AB48" s="17"/>
      <c r="AC48" s="18"/>
      <c r="AD48" s="18"/>
      <c r="AE48" s="18"/>
    </row>
    <row r="49" spans="1:34" ht="16.5" customHeight="1" x14ac:dyDescent="0.3">
      <c r="A49" s="47" t="s">
        <v>0</v>
      </c>
      <c r="B49" s="37" t="s">
        <v>8</v>
      </c>
      <c r="C49" s="37" t="s">
        <v>1</v>
      </c>
      <c r="D49" s="37" t="s">
        <v>9</v>
      </c>
      <c r="E49" s="37" t="s">
        <v>2</v>
      </c>
      <c r="F49" s="36" t="s">
        <v>10</v>
      </c>
      <c r="G49" s="37" t="s">
        <v>11</v>
      </c>
      <c r="H49" s="37" t="s">
        <v>28</v>
      </c>
      <c r="I49" s="64" t="s">
        <v>67</v>
      </c>
      <c r="J49" s="65"/>
      <c r="K49" s="65"/>
      <c r="L49" s="65"/>
      <c r="M49" s="65" t="s">
        <v>68</v>
      </c>
      <c r="N49" s="65"/>
      <c r="O49" s="65"/>
      <c r="P49" s="52" t="s">
        <v>29</v>
      </c>
      <c r="Q49" s="53"/>
      <c r="R49" s="54"/>
      <c r="T49" s="2"/>
      <c r="V49" s="18"/>
      <c r="W49" s="18"/>
      <c r="X49" s="18"/>
      <c r="Y49" s="17"/>
      <c r="Z49" s="18"/>
      <c r="AA49" s="18"/>
      <c r="AB49" s="18"/>
      <c r="AC49" s="18"/>
      <c r="AD49" s="17"/>
      <c r="AE49" s="18"/>
      <c r="AF49" s="2"/>
      <c r="AH49" s="2"/>
    </row>
    <row r="50" spans="1:34" x14ac:dyDescent="0.3">
      <c r="A50" s="47"/>
      <c r="B50" s="37"/>
      <c r="C50" s="37"/>
      <c r="D50" s="37"/>
      <c r="E50" s="37"/>
      <c r="F50" s="36"/>
      <c r="G50" s="37"/>
      <c r="H50" s="37"/>
      <c r="I50" s="66"/>
      <c r="J50" s="67"/>
      <c r="K50" s="67"/>
      <c r="L50" s="67"/>
      <c r="M50" s="67"/>
      <c r="N50" s="67"/>
      <c r="O50" s="67"/>
      <c r="P50" s="55"/>
      <c r="Q50" s="56"/>
      <c r="R50" s="57"/>
      <c r="S50" s="14"/>
      <c r="T50" s="14"/>
      <c r="U50" s="14"/>
      <c r="V50" s="17"/>
      <c r="W50" s="18"/>
      <c r="X50" s="18"/>
      <c r="Y50" s="18"/>
      <c r="Z50" s="18"/>
      <c r="AA50" s="17"/>
      <c r="AB50" s="18"/>
      <c r="AC50" s="17"/>
      <c r="AD50" s="17"/>
      <c r="AE50" s="17"/>
      <c r="AF50" s="2"/>
      <c r="AH50" s="2"/>
    </row>
    <row r="51" spans="1:34" x14ac:dyDescent="0.3">
      <c r="A51" s="47"/>
      <c r="B51" s="37"/>
      <c r="C51" s="37"/>
      <c r="D51" s="37"/>
      <c r="E51" s="37"/>
      <c r="F51" s="36"/>
      <c r="G51" s="37"/>
      <c r="H51" s="37"/>
      <c r="I51" s="32" t="s">
        <v>69</v>
      </c>
      <c r="J51" s="32" t="s">
        <v>70</v>
      </c>
      <c r="K51" s="32" t="s">
        <v>71</v>
      </c>
      <c r="L51" s="32" t="s">
        <v>20</v>
      </c>
      <c r="M51" s="32" t="s">
        <v>22</v>
      </c>
      <c r="N51" s="32" t="s">
        <v>71</v>
      </c>
      <c r="O51" s="32" t="s">
        <v>23</v>
      </c>
      <c r="P51" s="58"/>
      <c r="Q51" s="59"/>
      <c r="R51" s="60"/>
      <c r="S51" s="14"/>
      <c r="T51" s="14"/>
      <c r="U51" s="14"/>
      <c r="V51" s="2"/>
      <c r="W51" s="14"/>
      <c r="X51" s="14"/>
      <c r="AA51" s="2"/>
      <c r="AB51" s="14"/>
      <c r="AC51" s="2"/>
      <c r="AD51" s="2"/>
      <c r="AE51" s="2"/>
      <c r="AF51" s="2"/>
      <c r="AH51" s="2"/>
    </row>
    <row r="52" spans="1:34" x14ac:dyDescent="0.3">
      <c r="A52" s="20">
        <v>2026</v>
      </c>
      <c r="B52" s="4" t="s">
        <v>72</v>
      </c>
      <c r="C52" s="35" t="s">
        <v>73</v>
      </c>
      <c r="D52" s="3">
        <v>5</v>
      </c>
      <c r="E52" s="3">
        <v>9</v>
      </c>
      <c r="F52" s="3">
        <v>1.8</v>
      </c>
      <c r="G52" s="21">
        <v>6</v>
      </c>
      <c r="H52" s="3">
        <v>4</v>
      </c>
      <c r="I52" s="22">
        <v>100</v>
      </c>
      <c r="J52" s="22">
        <v>68.930000000000007</v>
      </c>
      <c r="K52" s="22">
        <v>70.75</v>
      </c>
      <c r="L52" s="22">
        <v>7.73</v>
      </c>
      <c r="M52" s="22">
        <v>5.76</v>
      </c>
      <c r="N52" s="22">
        <v>5.5</v>
      </c>
      <c r="O52" s="22">
        <v>1.17</v>
      </c>
      <c r="P52" s="61"/>
      <c r="Q52" s="62"/>
      <c r="R52" s="63"/>
      <c r="T52" s="2"/>
      <c r="V52" s="14"/>
      <c r="W52" s="14"/>
      <c r="X52" s="14"/>
      <c r="Y52" s="2"/>
      <c r="AB52" s="14"/>
      <c r="AD52" s="2"/>
      <c r="AF52" s="2"/>
      <c r="AH52" s="2"/>
    </row>
    <row r="53" spans="1:34" x14ac:dyDescent="0.3">
      <c r="A53" s="20">
        <v>2026</v>
      </c>
      <c r="B53" s="4" t="s">
        <v>72</v>
      </c>
      <c r="C53" s="35" t="s">
        <v>74</v>
      </c>
      <c r="D53" s="3">
        <v>20</v>
      </c>
      <c r="E53" s="3">
        <v>2</v>
      </c>
      <c r="F53" s="3">
        <v>0.1</v>
      </c>
      <c r="G53" s="21">
        <v>2</v>
      </c>
      <c r="H53" s="3">
        <v>0</v>
      </c>
      <c r="I53" s="22">
        <v>100</v>
      </c>
      <c r="J53" s="22">
        <v>84.73</v>
      </c>
      <c r="K53" s="22">
        <v>90.9</v>
      </c>
      <c r="L53" s="22">
        <v>6.18</v>
      </c>
      <c r="M53" s="22">
        <v>3.35</v>
      </c>
      <c r="N53" s="22">
        <v>2.4</v>
      </c>
      <c r="O53" s="22">
        <v>0.95</v>
      </c>
      <c r="P53" s="61"/>
      <c r="Q53" s="62"/>
      <c r="R53" s="63"/>
      <c r="T53" s="2"/>
      <c r="V53" s="14"/>
      <c r="W53" s="14"/>
      <c r="X53" s="14"/>
      <c r="Y53" s="2"/>
      <c r="AB53" s="14"/>
      <c r="AD53" s="2"/>
      <c r="AF53" s="2"/>
      <c r="AH53" s="2"/>
    </row>
  </sheetData>
  <autoFilter ref="A7:AH36" xr:uid="{9D2F1D2B-7CC7-4DCF-B6A3-2E91A5866776}"/>
  <sortState ref="Y39:Y46">
    <sortCondition descending="1" ref="Y39:Y46"/>
  </sortState>
  <mergeCells count="56">
    <mergeCell ref="P49:R51"/>
    <mergeCell ref="P52:R52"/>
    <mergeCell ref="P53:R53"/>
    <mergeCell ref="I49:L50"/>
    <mergeCell ref="M49:O50"/>
    <mergeCell ref="A49:A51"/>
    <mergeCell ref="B49:B51"/>
    <mergeCell ref="C49:C51"/>
    <mergeCell ref="D49:D51"/>
    <mergeCell ref="E49:E51"/>
    <mergeCell ref="Q47:S47"/>
    <mergeCell ref="A44:A46"/>
    <mergeCell ref="B44:B46"/>
    <mergeCell ref="C44:C46"/>
    <mergeCell ref="D44:D46"/>
    <mergeCell ref="E44:E46"/>
    <mergeCell ref="F44:F46"/>
    <mergeCell ref="G44:G46"/>
    <mergeCell ref="H44:H46"/>
    <mergeCell ref="I44:L45"/>
    <mergeCell ref="M44:P45"/>
    <mergeCell ref="Q44:S46"/>
    <mergeCell ref="F49:F51"/>
    <mergeCell ref="G49:G51"/>
    <mergeCell ref="H49:H51"/>
    <mergeCell ref="A1:AH1"/>
    <mergeCell ref="A2:AH2"/>
    <mergeCell ref="A3:AH3"/>
    <mergeCell ref="A4:AH4"/>
    <mergeCell ref="S5:W6"/>
    <mergeCell ref="X5:AB6"/>
    <mergeCell ref="AC5:AG6"/>
    <mergeCell ref="AH5:AH7"/>
    <mergeCell ref="F5:F7"/>
    <mergeCell ref="G5:G7"/>
    <mergeCell ref="H5:H7"/>
    <mergeCell ref="I5:L6"/>
    <mergeCell ref="M5:N6"/>
    <mergeCell ref="O5:R6"/>
    <mergeCell ref="A5:A7"/>
    <mergeCell ref="B5:B7"/>
    <mergeCell ref="C5:C7"/>
    <mergeCell ref="D5:D7"/>
    <mergeCell ref="E5:E7"/>
    <mergeCell ref="A39:A41"/>
    <mergeCell ref="B39:B41"/>
    <mergeCell ref="C39:C41"/>
    <mergeCell ref="D39:D41"/>
    <mergeCell ref="E39:E41"/>
    <mergeCell ref="F39:F41"/>
    <mergeCell ref="G39:G41"/>
    <mergeCell ref="H39:H41"/>
    <mergeCell ref="Q39:S41"/>
    <mergeCell ref="Q42:S42"/>
    <mergeCell ref="I39:L40"/>
    <mergeCell ref="M39:P40"/>
  </mergeCells>
  <phoneticPr fontId="2" type="noConversion"/>
  <pageMargins left="0.25" right="0.25" top="0.75" bottom="0.75" header="0.3" footer="0.3"/>
  <pageSetup paperSize="9" scale="38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정시 전체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Inje</dc:creator>
  <cp:lastModifiedBy>admin</cp:lastModifiedBy>
  <cp:lastPrinted>2026-04-27T04:42:23Z</cp:lastPrinted>
  <dcterms:created xsi:type="dcterms:W3CDTF">2015-06-05T18:19:34Z</dcterms:created>
  <dcterms:modified xsi:type="dcterms:W3CDTF">2026-04-27T06:16:13Z</dcterms:modified>
</cp:coreProperties>
</file>